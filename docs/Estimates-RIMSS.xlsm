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arshsinghchauhan/Documents/"/>
    </mc:Choice>
  </mc:AlternateContent>
  <xr:revisionPtr revIDLastSave="0" documentId="8_{979C034C-F1EE-F949-B217-90FACE1A4177}" xr6:coauthVersionLast="47" xr6:coauthVersionMax="47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0" yWindow="740" windowWidth="30240" windowHeight="18900" tabRatio="340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Estimation!$406:$406</definedName>
    <definedName name="AS_DEV_EFFORT">Estimation!$P$296</definedName>
    <definedName name="AS_DURATION_EFFORT">Estimation!$P$297</definedName>
    <definedName name="AS_MANUAL_DURATION_EFFORT">Estimation!$U$298</definedName>
    <definedName name="AUTOMATED_END_DATE">Estimation!$P$272</definedName>
    <definedName name="BUFFER_TYPES_LIST">Lists!$B$45:$B$48</definedName>
    <definedName name="BUFFERS_BY_TYPE">Estimation!$N$331:$O$333</definedName>
    <definedName name="CHOSEN_CURRENCY">Estimation!$O$290</definedName>
    <definedName name="CLIENT_NAME">Estimation!$O$283</definedName>
    <definedName name="COMPACT_WBS">Estimation!$L$10:$T$233</definedName>
    <definedName name="COPY_TYPE">Estimation!$R$9</definedName>
    <definedName name="CURRENCIES_LIST">Lists!$B$27:$B$29</definedName>
    <definedName name="CUSTOM_PERCENT">Estimation!$T$5</definedName>
    <definedName name="DESIGN_COST">Estimation!$W$258</definedName>
    <definedName name="DESIGN_EFFORT">Estimation!$O$258</definedName>
    <definedName name="DESIGN_RANGE">Estimation!$L$65:$AC$100</definedName>
    <definedName name="DESIGN_TA_COUNT">Estimation!$R$268</definedName>
    <definedName name="DESIGN_TA_PERCENT">Estimation!$R$258</definedName>
    <definedName name="DEV_COST">Estimation!$W$259</definedName>
    <definedName name="DEV_DEV_COUNT">Estimation!$T$269</definedName>
    <definedName name="DEV_DEV_PERCENT">Estimation!$T$259</definedName>
    <definedName name="DEV_EFFORT">Estimation!$O$259</definedName>
    <definedName name="DEV_RANGE">Estimation!$L$101:$AC$151</definedName>
    <definedName name="DURATION">Estimation!$P$273</definedName>
    <definedName name="EXTRA_FOR_H">Estimation!$O$318</definedName>
    <definedName name="EXTRAS_ARRAY">Estimation!$N$323:$O$328</definedName>
    <definedName name="EXTRAS_LIST">Estimation!$N$323:$N$328</definedName>
    <definedName name="FBS">Estimation!$L$235</definedName>
    <definedName name="FBS_FORMAT">Estimation!$S$240</definedName>
    <definedName name="FBS_INSERT_AT">Estimation!$M$246:$P$246</definedName>
    <definedName name="FBS_LINK">Estimation!$T$240</definedName>
    <definedName name="FBS_RANGE">Estimation!$M$241:$P$247</definedName>
    <definedName name="FULL_WBS">Estimation!$L$10:$AC$233</definedName>
    <definedName name="INCLUDE_OPTIONALS_LIST">Lists!$B$58:$B$59</definedName>
    <definedName name="IS_KEY_OPP">Estimation!$O$288</definedName>
    <definedName name="LESS_FOR_L">Estimation!$O$319</definedName>
    <definedName name="MANUAL_DURATION">Estimation!$P$274</definedName>
    <definedName name="MANUAL_END_DATE">Schedule!$L$1</definedName>
    <definedName name="MAX_EFFORT_PERCENT">Estimation!$P$293</definedName>
    <definedName name="MIN_EFFORT_PERCENT">Estimation!$O$293</definedName>
    <definedName name="MODULE_RANGE">Estimation!$410:$410</definedName>
    <definedName name="NOT_IN_COMPACT">Estimation!$O:$W</definedName>
    <definedName name="OTHER_COST">Estimation!$W$262</definedName>
    <definedName name="OTHER_EFFORT">Estimation!$O$262</definedName>
    <definedName name="OTHER_TL_COUNT">Estimation!$S$272</definedName>
    <definedName name="OTHER_TL_PERCENT">Estimation!$S$262</definedName>
    <definedName name="OTHERS_RANGE">Estimation!$L$226:$AC$232</definedName>
    <definedName name="PLATFORM">Estimation!$O$285</definedName>
    <definedName name="PLATFORMS_LIST">Lists!$B$38:$B$42</definedName>
    <definedName name="_xlnm.Print_Area" localSheetId="1">Estimation!$A$1:$AC$279</definedName>
    <definedName name="PROJECT_NAME">Estimation!$O$284</definedName>
    <definedName name="PROJECT_TYPE">Estimation!$O$286</definedName>
    <definedName name="PROJECT_TYPES_LIST">Lists!$B$32:$B$35</definedName>
    <definedName name="QA_COST">Estimation!$W$260</definedName>
    <definedName name="QA_EFFORT">Estimation!$O$260</definedName>
    <definedName name="QA_RANGE">Estimation!$L$152:$AC$194</definedName>
    <definedName name="REGIONS_LIST">Lists!$B$19:$B$24</definedName>
    <definedName name="REQ_BA_COUNT">Estimation!$Q$267</definedName>
    <definedName name="REQ_BA_PERCENT">Estimation!$Q$257</definedName>
    <definedName name="REQ_COST">Estimation!$W$257</definedName>
    <definedName name="REQ_EFFORT">Estimation!$O$257</definedName>
    <definedName name="REQ_RANGE">Estimation!$L$12:$AC$64</definedName>
    <definedName name="RFP_NAME">Estimation!$O$287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Estimation!$P$323:$P$324</definedName>
    <definedName name="SECTION_RANGE">Estimation!$402:$408</definedName>
    <definedName name="START_DATE">Estimation!$O$267</definedName>
    <definedName name="TASK_RANGE">Estimation!$404:$407</definedName>
    <definedName name="TEMPLATE_NAME">Estimation!$G$3</definedName>
    <definedName name="TEMPLATE_SECTION">Estimation!$401:$411</definedName>
    <definedName name="TEMPLATE_VER">Estimation!$K$3</definedName>
    <definedName name="TESTING_QA_COUNT">Estimation!$U$270</definedName>
    <definedName name="TESTING_QA_PERCENT">Estimation!$U$260</definedName>
    <definedName name="TOTAL_COST">Estimation!$W$263</definedName>
    <definedName name="TOTAL_EFFORT">Estimation!$O$263</definedName>
    <definedName name="Total_FRs">Estimation!$Q$23</definedName>
    <definedName name="Total_Screens">Estimation!$P$62</definedName>
    <definedName name="Total_Test_Cases">Estimation!$P$169</definedName>
    <definedName name="Total_Use_Cases">Estimation!$P$43</definedName>
    <definedName name="TOTAL_WEEKS">Estimation!$P$263</definedName>
    <definedName name="UAT_COST">Estimation!$W$261</definedName>
    <definedName name="UAT_DEV_COUNT">Estimation!$T$271</definedName>
    <definedName name="UAT_DEV_PERCENT">Estimation!$T$261</definedName>
    <definedName name="UAT_EFFORT">Estimation!$O$261</definedName>
    <definedName name="UAT_RANGE">Estimation!$L$195:$AC$225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03" i="2" l="1"/>
  <c r="AA203" i="2" s="1"/>
  <c r="S203" i="2" s="1"/>
  <c r="AD203" i="2" s="1"/>
  <c r="Y201" i="2"/>
  <c r="AA201" i="2" s="1"/>
  <c r="S201" i="2" s="1"/>
  <c r="AD201" i="2" s="1"/>
  <c r="Y200" i="2"/>
  <c r="AA200" i="2" s="1"/>
  <c r="S200" i="2" s="1"/>
  <c r="AD200" i="2" s="1"/>
  <c r="Y199" i="2"/>
  <c r="AA199" i="2" s="1"/>
  <c r="S199" i="2" s="1"/>
  <c r="AD199" i="2" s="1"/>
  <c r="Y202" i="2"/>
  <c r="AA202" i="2" s="1"/>
  <c r="S202" i="2" s="1"/>
  <c r="AD197" i="2"/>
  <c r="Y158" i="2"/>
  <c r="AA158" i="2" s="1"/>
  <c r="S158" i="2" s="1"/>
  <c r="AD158" i="2" s="1"/>
  <c r="Y112" i="2"/>
  <c r="AA112" i="2" s="1"/>
  <c r="S112" i="2" s="1"/>
  <c r="AD112" i="2" s="1"/>
  <c r="Y157" i="2"/>
  <c r="AA157" i="2" s="1"/>
  <c r="S157" i="2" s="1"/>
  <c r="AD155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71" i="2"/>
  <c r="AA71" i="2" s="1"/>
  <c r="S71" i="2" s="1"/>
  <c r="AD71" i="2" s="1"/>
  <c r="Y105" i="2"/>
  <c r="AA105" i="2" s="1"/>
  <c r="S105" i="2" s="1"/>
  <c r="AD103" i="2"/>
  <c r="Y70" i="2"/>
  <c r="AA70" i="2" s="1"/>
  <c r="S70" i="2" s="1"/>
  <c r="AD70" i="2" s="1"/>
  <c r="Y69" i="2"/>
  <c r="AA69" i="2" s="1"/>
  <c r="S69" i="2" s="1"/>
  <c r="AD67" i="2"/>
  <c r="Y192" i="2"/>
  <c r="AA192" i="2" s="1"/>
  <c r="S192" i="2" s="1"/>
  <c r="AD192" i="2" s="1"/>
  <c r="Y191" i="2"/>
  <c r="AA191" i="2" s="1"/>
  <c r="S191" i="2" s="1"/>
  <c r="AD191" i="2" s="1"/>
  <c r="AD202" i="2" l="1"/>
  <c r="T197" i="2"/>
  <c r="AD157" i="2"/>
  <c r="T155" i="2"/>
  <c r="AD105" i="2"/>
  <c r="T103" i="2"/>
  <c r="AD69" i="2"/>
  <c r="T67" i="2"/>
  <c r="R190" i="2"/>
  <c r="R189" i="2"/>
  <c r="R187" i="2"/>
  <c r="X182" i="2"/>
  <c r="X181" i="2"/>
  <c r="AD165" i="2" l="1"/>
  <c r="AD154" i="2"/>
  <c r="Y162" i="2"/>
  <c r="AA162" i="2" s="1"/>
  <c r="S162" i="2" s="1"/>
  <c r="AD160" i="2"/>
  <c r="Y171" i="2"/>
  <c r="AA171" i="2" s="1"/>
  <c r="S171" i="2" s="1"/>
  <c r="AD171" i="2" s="1"/>
  <c r="Y168" i="2"/>
  <c r="AA168" i="2" s="1"/>
  <c r="S168" i="2" s="1"/>
  <c r="AD166" i="2"/>
  <c r="Y149" i="2"/>
  <c r="AA149" i="2" s="1"/>
  <c r="S149" i="2" s="1"/>
  <c r="AD149" i="2" s="1"/>
  <c r="AD145" i="2"/>
  <c r="Y148" i="2"/>
  <c r="AA148" i="2" s="1"/>
  <c r="S148" i="2" s="1"/>
  <c r="AD146" i="2"/>
  <c r="Y59" i="2"/>
  <c r="AA59" i="2" s="1"/>
  <c r="S59" i="2" s="1"/>
  <c r="AD59" i="2" s="1"/>
  <c r="Y60" i="2"/>
  <c r="AA60" i="2" s="1"/>
  <c r="S60" i="2" s="1"/>
  <c r="AD60" i="2" s="1"/>
  <c r="Y62" i="2"/>
  <c r="AA62" i="2" s="1"/>
  <c r="S62" i="2" s="1"/>
  <c r="AD62" i="2" s="1"/>
  <c r="Y50" i="2"/>
  <c r="AA50" i="2" s="1"/>
  <c r="S50" i="2" s="1"/>
  <c r="AD50" i="2" s="1"/>
  <c r="Y51" i="2"/>
  <c r="AA51" i="2" s="1"/>
  <c r="S51" i="2" s="1"/>
  <c r="AD51" i="2" s="1"/>
  <c r="Y52" i="2"/>
  <c r="AA52" i="2" s="1"/>
  <c r="S52" i="2" s="1"/>
  <c r="AD52" i="2" s="1"/>
  <c r="Y53" i="2"/>
  <c r="AA53" i="2" s="1"/>
  <c r="S53" i="2" s="1"/>
  <c r="AD53" i="2" s="1"/>
  <c r="Y54" i="2"/>
  <c r="AA54" i="2" s="1"/>
  <c r="S54" i="2" s="1"/>
  <c r="AD54" i="2" s="1"/>
  <c r="Q43" i="2"/>
  <c r="P43" i="2"/>
  <c r="Y44" i="2"/>
  <c r="AA44" i="2" s="1"/>
  <c r="S44" i="2" s="1"/>
  <c r="AD44" i="2" s="1"/>
  <c r="Y45" i="2"/>
  <c r="AA45" i="2" s="1"/>
  <c r="S45" i="2" s="1"/>
  <c r="AD45" i="2" s="1"/>
  <c r="Y36" i="2"/>
  <c r="AA36" i="2" s="1"/>
  <c r="S36" i="2" s="1"/>
  <c r="AD36" i="2" s="1"/>
  <c r="Y37" i="2"/>
  <c r="AA37" i="2" s="1"/>
  <c r="S37" i="2" s="1"/>
  <c r="AD37" i="2" s="1"/>
  <c r="Y38" i="2"/>
  <c r="AA38" i="2" s="1"/>
  <c r="S38" i="2" s="1"/>
  <c r="AD38" i="2" s="1"/>
  <c r="Y39" i="2"/>
  <c r="AA39" i="2" s="1"/>
  <c r="S39" i="2" s="1"/>
  <c r="AD39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8" i="2"/>
  <c r="AA58" i="2" s="1"/>
  <c r="S58" i="2" s="1"/>
  <c r="AD56" i="2"/>
  <c r="Y49" i="2"/>
  <c r="AA49" i="2" s="1"/>
  <c r="S49" i="2" s="1"/>
  <c r="AD47" i="2"/>
  <c r="AD41" i="2"/>
  <c r="Y35" i="2"/>
  <c r="AA35" i="2" s="1"/>
  <c r="S35" i="2" s="1"/>
  <c r="AD33" i="2"/>
  <c r="Y28" i="2"/>
  <c r="AA28" i="2" s="1"/>
  <c r="S28" i="2" s="1"/>
  <c r="AD26" i="2"/>
  <c r="Q169" i="2" l="1"/>
  <c r="Q61" i="2"/>
  <c r="Y61" i="2" s="1"/>
  <c r="AA61" i="2" s="1"/>
  <c r="S61" i="2" s="1"/>
  <c r="AD61" i="2" s="1"/>
  <c r="Q163" i="2"/>
  <c r="Y163" i="2" s="1"/>
  <c r="AA163" i="2" s="1"/>
  <c r="S163" i="2" s="1"/>
  <c r="AD163" i="2" s="1"/>
  <c r="AD162" i="2"/>
  <c r="AD168" i="2"/>
  <c r="P170" i="2"/>
  <c r="P169" i="2"/>
  <c r="Q170" i="2"/>
  <c r="T146" i="2"/>
  <c r="AD148" i="2"/>
  <c r="Y43" i="2"/>
  <c r="AA43" i="2" s="1"/>
  <c r="S43" i="2" s="1"/>
  <c r="T41" i="2" s="1"/>
  <c r="AD58" i="2"/>
  <c r="T47" i="2"/>
  <c r="AD49" i="2"/>
  <c r="T33" i="2"/>
  <c r="AD35" i="2"/>
  <c r="T26" i="2"/>
  <c r="AD28" i="2"/>
  <c r="T56" i="2" l="1"/>
  <c r="Y169" i="2"/>
  <c r="AA169" i="2" s="1"/>
  <c r="S169" i="2" s="1"/>
  <c r="AD169" i="2" s="1"/>
  <c r="Q182" i="2"/>
  <c r="Q181" i="2"/>
  <c r="Q176" i="2"/>
  <c r="T160" i="2"/>
  <c r="Y170" i="2"/>
  <c r="AA170" i="2" s="1"/>
  <c r="S170" i="2" s="1"/>
  <c r="AD170" i="2" s="1"/>
  <c r="AD43" i="2"/>
  <c r="S145" i="2"/>
  <c r="T166" i="2" l="1"/>
  <c r="R255" i="2" l="1"/>
  <c r="S255" i="2"/>
  <c r="T255" i="2"/>
  <c r="U255" i="2"/>
  <c r="V255" i="2"/>
  <c r="Q255" i="2"/>
  <c r="S410" i="2"/>
  <c r="AD228" i="2" l="1"/>
  <c r="Q18" i="2" l="1"/>
  <c r="Y18" i="2" s="1"/>
  <c r="AA18" i="2" s="1"/>
  <c r="S18" i="2" s="1"/>
  <c r="AD18" i="2" s="1"/>
  <c r="Y221" i="2" l="1"/>
  <c r="AA221" i="2" s="1"/>
  <c r="S221" i="2" s="1"/>
  <c r="AD221" i="2" s="1"/>
  <c r="Y222" i="2"/>
  <c r="AA222" i="2" s="1"/>
  <c r="S222" i="2" s="1"/>
  <c r="AD222" i="2" s="1"/>
  <c r="Y223" i="2"/>
  <c r="AA223" i="2" s="1"/>
  <c r="S223" i="2" s="1"/>
  <c r="AD223" i="2" s="1"/>
  <c r="Y220" i="2"/>
  <c r="AA220" i="2" s="1"/>
  <c r="S220" i="2" s="1"/>
  <c r="AD218" i="2"/>
  <c r="Y216" i="2"/>
  <c r="AA216" i="2" s="1"/>
  <c r="S216" i="2" s="1"/>
  <c r="AD214" i="2"/>
  <c r="Y212" i="2"/>
  <c r="AA212" i="2" s="1"/>
  <c r="S212" i="2" s="1"/>
  <c r="AD210" i="2"/>
  <c r="Y208" i="2"/>
  <c r="AA208" i="2" s="1"/>
  <c r="S208" i="2" s="1"/>
  <c r="AD208" i="2" s="1"/>
  <c r="Y207" i="2"/>
  <c r="AA207" i="2" s="1"/>
  <c r="S207" i="2" s="1"/>
  <c r="AD205" i="2"/>
  <c r="Y188" i="2"/>
  <c r="AA188" i="2" s="1"/>
  <c r="S188" i="2" s="1"/>
  <c r="AD188" i="2" s="1"/>
  <c r="Y189" i="2"/>
  <c r="AA189" i="2" s="1"/>
  <c r="S189" i="2" s="1"/>
  <c r="AD189" i="2" s="1"/>
  <c r="Y190" i="2"/>
  <c r="AA190" i="2" s="1"/>
  <c r="S190" i="2" s="1"/>
  <c r="AD190" i="2" s="1"/>
  <c r="Y187" i="2"/>
  <c r="AA187" i="2" s="1"/>
  <c r="S187" i="2" s="1"/>
  <c r="AD185" i="2"/>
  <c r="Y182" i="2"/>
  <c r="AA182" i="2" s="1"/>
  <c r="S182" i="2" s="1"/>
  <c r="AD182" i="2" s="1"/>
  <c r="Y183" i="2"/>
  <c r="AA183" i="2" s="1"/>
  <c r="S183" i="2" s="1"/>
  <c r="AD183" i="2" s="1"/>
  <c r="Y181" i="2"/>
  <c r="AA181" i="2" s="1"/>
  <c r="S181" i="2" s="1"/>
  <c r="AD181" i="2" s="1"/>
  <c r="Y180" i="2"/>
  <c r="AA180" i="2" s="1"/>
  <c r="S180" i="2" s="1"/>
  <c r="AD178" i="2"/>
  <c r="Y176" i="2"/>
  <c r="AA176" i="2" s="1"/>
  <c r="S176" i="2" s="1"/>
  <c r="AD176" i="2" s="1"/>
  <c r="Y175" i="2"/>
  <c r="AA175" i="2" s="1"/>
  <c r="S175" i="2" s="1"/>
  <c r="AD173" i="2"/>
  <c r="Y139" i="2"/>
  <c r="AA139" i="2" s="1"/>
  <c r="S139" i="2" s="1"/>
  <c r="AD139" i="2" s="1"/>
  <c r="Y143" i="2"/>
  <c r="AA143" i="2" s="1"/>
  <c r="S143" i="2" s="1"/>
  <c r="AD141" i="2"/>
  <c r="AD135" i="2"/>
  <c r="Y133" i="2"/>
  <c r="AA133" i="2" s="1"/>
  <c r="S133" i="2" s="1"/>
  <c r="AD133" i="2" s="1"/>
  <c r="Y124" i="2"/>
  <c r="AA124" i="2" s="1"/>
  <c r="S124" i="2" s="1"/>
  <c r="AD124" i="2" s="1"/>
  <c r="Y125" i="2"/>
  <c r="AA125" i="2" s="1"/>
  <c r="S125" i="2" s="1"/>
  <c r="AD125" i="2" s="1"/>
  <c r="Y126" i="2"/>
  <c r="AA126" i="2" s="1"/>
  <c r="S126" i="2" s="1"/>
  <c r="AD126" i="2" s="1"/>
  <c r="Y127" i="2"/>
  <c r="AA127" i="2" s="1"/>
  <c r="S127" i="2" s="1"/>
  <c r="AD127" i="2" s="1"/>
  <c r="Y117" i="2"/>
  <c r="AA117" i="2" s="1"/>
  <c r="S117" i="2" s="1"/>
  <c r="AD117" i="2" s="1"/>
  <c r="Y118" i="2"/>
  <c r="AA118" i="2" s="1"/>
  <c r="S118" i="2" s="1"/>
  <c r="AD118" i="2" s="1"/>
  <c r="Y119" i="2"/>
  <c r="AA119" i="2" s="1"/>
  <c r="S119" i="2" s="1"/>
  <c r="AD119" i="2" s="1"/>
  <c r="Y92" i="2"/>
  <c r="AA92" i="2" s="1"/>
  <c r="S92" i="2" s="1"/>
  <c r="AD92" i="2" s="1"/>
  <c r="Y93" i="2"/>
  <c r="AA93" i="2" s="1"/>
  <c r="S93" i="2" s="1"/>
  <c r="AD93" i="2" s="1"/>
  <c r="Y94" i="2"/>
  <c r="AA94" i="2" s="1"/>
  <c r="S94" i="2" s="1"/>
  <c r="AD94" i="2" s="1"/>
  <c r="Y95" i="2"/>
  <c r="AA95" i="2" s="1"/>
  <c r="S95" i="2" s="1"/>
  <c r="AD95" i="2" s="1"/>
  <c r="Y96" i="2"/>
  <c r="AA96" i="2" s="1"/>
  <c r="S96" i="2" s="1"/>
  <c r="AD96" i="2" s="1"/>
  <c r="Y97" i="2"/>
  <c r="AA97" i="2" s="1"/>
  <c r="S97" i="2" s="1"/>
  <c r="AD97" i="2" s="1"/>
  <c r="Y98" i="2"/>
  <c r="AA98" i="2" s="1"/>
  <c r="S98" i="2" s="1"/>
  <c r="AD98" i="2" s="1"/>
  <c r="Y87" i="2"/>
  <c r="AA87" i="2" s="1"/>
  <c r="S87" i="2" s="1"/>
  <c r="AD87" i="2" s="1"/>
  <c r="Y86" i="2"/>
  <c r="AA86" i="2" s="1"/>
  <c r="S86" i="2" s="1"/>
  <c r="AD86" i="2" s="1"/>
  <c r="Y85" i="2"/>
  <c r="AA85" i="2" s="1"/>
  <c r="S85" i="2" s="1"/>
  <c r="AD85" i="2" s="1"/>
  <c r="Y76" i="2"/>
  <c r="AA76" i="2" s="1"/>
  <c r="S76" i="2" s="1"/>
  <c r="AD76" i="2" s="1"/>
  <c r="Y91" i="2"/>
  <c r="AA91" i="2" s="1"/>
  <c r="S91" i="2" s="1"/>
  <c r="AD89" i="2"/>
  <c r="Y84" i="2"/>
  <c r="AA84" i="2" s="1"/>
  <c r="S84" i="2" s="1"/>
  <c r="AD82" i="2"/>
  <c r="Y80" i="2"/>
  <c r="AA80" i="2" s="1"/>
  <c r="S80" i="2" s="1"/>
  <c r="AD78" i="2"/>
  <c r="Y24" i="2"/>
  <c r="AA24" i="2" s="1"/>
  <c r="S24" i="2" s="1"/>
  <c r="AD24" i="2" s="1"/>
  <c r="Y23" i="2"/>
  <c r="AA23" i="2" s="1"/>
  <c r="S23" i="2" s="1"/>
  <c r="AD20" i="2"/>
  <c r="AD220" i="2" l="1"/>
  <c r="T218" i="2"/>
  <c r="AD216" i="2"/>
  <c r="AD212" i="2"/>
  <c r="AD207" i="2"/>
  <c r="T205" i="2"/>
  <c r="AD187" i="2"/>
  <c r="T185" i="2"/>
  <c r="AD180" i="2"/>
  <c r="T178" i="2"/>
  <c r="AD175" i="2"/>
  <c r="T173" i="2"/>
  <c r="AD143" i="2"/>
  <c r="T141" i="2"/>
  <c r="AD91" i="2"/>
  <c r="T89" i="2"/>
  <c r="AD84" i="2"/>
  <c r="T82" i="2"/>
  <c r="AD80" i="2"/>
  <c r="T78" i="2"/>
  <c r="AD23" i="2"/>
  <c r="T20" i="2"/>
  <c r="S165" i="2"/>
  <c r="S154" i="2"/>
  <c r="AD129" i="2" l="1"/>
  <c r="Y123" i="2"/>
  <c r="AA123" i="2" s="1"/>
  <c r="S123" i="2" s="1"/>
  <c r="AD121" i="2"/>
  <c r="Y132" i="2"/>
  <c r="AA132" i="2" s="1"/>
  <c r="S132" i="2" s="1"/>
  <c r="AD130" i="2"/>
  <c r="Y138" i="2"/>
  <c r="AA138" i="2" s="1"/>
  <c r="S138" i="2" s="1"/>
  <c r="AD136" i="2"/>
  <c r="Y116" i="2"/>
  <c r="AA116" i="2" s="1"/>
  <c r="S116" i="2" s="1"/>
  <c r="AD114" i="2"/>
  <c r="AD123" i="2" l="1"/>
  <c r="T121" i="2"/>
  <c r="AD132" i="2"/>
  <c r="T130" i="2"/>
  <c r="AD138" i="2"/>
  <c r="T136" i="2"/>
  <c r="T114" i="2"/>
  <c r="AD116" i="2"/>
  <c r="S129" i="2"/>
  <c r="S135" i="2"/>
  <c r="Y75" i="2" l="1"/>
  <c r="AA75" i="2" s="1"/>
  <c r="S75" i="2" s="1"/>
  <c r="AD73" i="2"/>
  <c r="Y17" i="2"/>
  <c r="AA17" i="2" s="1"/>
  <c r="S17" i="2" s="1"/>
  <c r="AD17" i="2" s="1"/>
  <c r="Y16" i="2"/>
  <c r="AA16" i="2" s="1"/>
  <c r="S16" i="2" s="1"/>
  <c r="AD14" i="2"/>
  <c r="L14" i="2"/>
  <c r="AD75" i="2" l="1"/>
  <c r="T73" i="2"/>
  <c r="L15" i="2"/>
  <c r="AD16" i="2"/>
  <c r="T14" i="2"/>
  <c r="L20" i="2"/>
  <c r="L21" i="2" l="1"/>
  <c r="M22" i="2" s="1"/>
  <c r="M16" i="2"/>
  <c r="M17" i="2" s="1"/>
  <c r="M18" i="2" s="1"/>
  <c r="B262" i="2"/>
  <c r="B261" i="2"/>
  <c r="B260" i="2"/>
  <c r="B259" i="2"/>
  <c r="B258" i="2"/>
  <c r="B257" i="2"/>
  <c r="AD410" i="2"/>
  <c r="AD404" i="2"/>
  <c r="L26" i="2"/>
  <c r="L27" i="2" l="1"/>
  <c r="M23" i="2"/>
  <c r="P240" i="2"/>
  <c r="L33" i="2"/>
  <c r="L34" i="2" l="1"/>
  <c r="M28" i="2"/>
  <c r="M29" i="2" s="1"/>
  <c r="M24" i="2"/>
  <c r="B2" i="6"/>
  <c r="B2" i="8"/>
  <c r="AB280" i="2"/>
  <c r="L41" i="2"/>
  <c r="M30" i="2" l="1"/>
  <c r="M31" i="2" s="1"/>
  <c r="L42" i="2"/>
  <c r="M35" i="2"/>
  <c r="Y406" i="2"/>
  <c r="L47" i="2"/>
  <c r="M36" i="2" l="1"/>
  <c r="M37" i="2" s="1"/>
  <c r="M38" i="2" s="1"/>
  <c r="M39" i="2" s="1"/>
  <c r="L48" i="2"/>
  <c r="M43" i="2"/>
  <c r="C55" i="4"/>
  <c r="C54" i="4"/>
  <c r="C52" i="4"/>
  <c r="C51" i="4"/>
  <c r="L56" i="2"/>
  <c r="L67" i="2"/>
  <c r="L68" i="2" l="1"/>
  <c r="M69" i="2" s="1"/>
  <c r="M70" i="2" s="1"/>
  <c r="M71" i="2" s="1"/>
  <c r="M44" i="2"/>
  <c r="M45" i="2" s="1"/>
  <c r="L57" i="2"/>
  <c r="M49" i="2"/>
  <c r="M50" i="2" s="1"/>
  <c r="T274" i="2"/>
  <c r="P274" i="2"/>
  <c r="M51" i="2" l="1"/>
  <c r="M52" i="2" s="1"/>
  <c r="M53" i="2" s="1"/>
  <c r="M54" i="2" s="1"/>
  <c r="M58" i="2"/>
  <c r="AA406" i="2"/>
  <c r="S406" i="2" s="1"/>
  <c r="C1" i="5"/>
  <c r="N272" i="2"/>
  <c r="B11" i="5" s="1"/>
  <c r="M272" i="2"/>
  <c r="N271" i="2"/>
  <c r="B10" i="5" s="1"/>
  <c r="M271" i="2"/>
  <c r="N270" i="2"/>
  <c r="B9" i="5" s="1"/>
  <c r="M270" i="2"/>
  <c r="N269" i="2"/>
  <c r="B8" i="5" s="1"/>
  <c r="M269" i="2"/>
  <c r="N268" i="2"/>
  <c r="B7" i="5" s="1"/>
  <c r="M268" i="2"/>
  <c r="N267" i="2"/>
  <c r="B6" i="5" s="1"/>
  <c r="M267" i="2"/>
  <c r="N262" i="2"/>
  <c r="N261" i="2"/>
  <c r="N260" i="2"/>
  <c r="N259" i="2"/>
  <c r="N258" i="2"/>
  <c r="N257" i="2"/>
  <c r="M262" i="2"/>
  <c r="M261" i="2"/>
  <c r="M260" i="2"/>
  <c r="M259" i="2"/>
  <c r="M258" i="2"/>
  <c r="M257" i="2"/>
  <c r="L73" i="2"/>
  <c r="M59" i="2" l="1"/>
  <c r="M60" i="2" s="1"/>
  <c r="M61" i="2" s="1"/>
  <c r="M62" i="2" s="1"/>
  <c r="L74" i="2"/>
  <c r="T404" i="2"/>
  <c r="AD406" i="2"/>
  <c r="L78" i="2"/>
  <c r="L79" i="2" l="1"/>
  <c r="M75" i="2"/>
  <c r="M76" i="2" s="1"/>
  <c r="AD402" i="2"/>
  <c r="L82" i="2"/>
  <c r="L103" i="2" s="1"/>
  <c r="L104" i="2" l="1"/>
  <c r="M105" i="2" s="1"/>
  <c r="M106" i="2" s="1"/>
  <c r="M107" i="2" s="1"/>
  <c r="M108" i="2" s="1"/>
  <c r="M109" i="2" s="1"/>
  <c r="M110" i="2" s="1"/>
  <c r="M111" i="2" s="1"/>
  <c r="M112" i="2" s="1"/>
  <c r="L83" i="2"/>
  <c r="M80" i="2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89" i="2"/>
  <c r="L90" i="2" l="1"/>
  <c r="M84" i="2"/>
  <c r="M85" i="2" s="1"/>
  <c r="M86" i="2" s="1"/>
  <c r="M87" i="2" s="1"/>
  <c r="N333" i="2"/>
  <c r="N332" i="2"/>
  <c r="N331" i="2"/>
  <c r="W255" i="2"/>
  <c r="B255" i="2" s="1"/>
  <c r="M91" i="2" l="1"/>
  <c r="M92" i="2" s="1"/>
  <c r="M93" i="2" s="1"/>
  <c r="M94" i="2" s="1"/>
  <c r="M95" i="2" s="1"/>
  <c r="M96" i="2" s="1"/>
  <c r="M97" i="2" s="1"/>
  <c r="M98" i="2" s="1"/>
  <c r="M3" i="2"/>
  <c r="L114" i="2"/>
  <c r="L115" i="2" l="1"/>
  <c r="N3" i="2"/>
  <c r="M116" i="2" l="1"/>
  <c r="M117" i="2" s="1"/>
  <c r="M118" i="2" s="1"/>
  <c r="M119" i="2" s="1"/>
  <c r="S65" i="2"/>
  <c r="O258" i="2" s="1"/>
  <c r="P258" i="2" s="1"/>
  <c r="S12" i="2"/>
  <c r="O257" i="2" s="1"/>
  <c r="L121" i="2"/>
  <c r="L122" i="2" l="1"/>
  <c r="W258" i="2"/>
  <c r="P257" i="2"/>
  <c r="P267" i="2" s="1"/>
  <c r="O268" i="2" s="1"/>
  <c r="W257" i="2"/>
  <c r="M123" i="2" l="1"/>
  <c r="M124" i="2" s="1"/>
  <c r="M125" i="2" s="1"/>
  <c r="M126" i="2" s="1"/>
  <c r="M127" i="2" s="1"/>
  <c r="P268" i="2"/>
  <c r="O269" i="2" s="1"/>
  <c r="L130" i="2"/>
  <c r="L131" i="2" l="1"/>
  <c r="S402" i="2"/>
  <c r="M132" i="2" l="1"/>
  <c r="M133" i="2" s="1"/>
  <c r="S101" i="2"/>
  <c r="O259" i="2" s="1"/>
  <c r="L136" i="2"/>
  <c r="L137" i="2" l="1"/>
  <c r="T214" i="2"/>
  <c r="P259" i="2"/>
  <c r="P269" i="2" s="1"/>
  <c r="O270" i="2" s="1"/>
  <c r="W259" i="2"/>
  <c r="M138" i="2" l="1"/>
  <c r="M139" i="2" s="1"/>
  <c r="S152" i="2"/>
  <c r="O260" i="2" s="1"/>
  <c r="T210" i="2"/>
  <c r="S195" i="2" s="1"/>
  <c r="O261" i="2" s="1"/>
  <c r="L141" i="2"/>
  <c r="L155" i="2" s="1"/>
  <c r="L156" i="2" l="1"/>
  <c r="M157" i="2" s="1"/>
  <c r="M158" i="2" s="1"/>
  <c r="L142" i="2"/>
  <c r="X230" i="2"/>
  <c r="Y230" i="2" s="1"/>
  <c r="AA230" i="2" s="1"/>
  <c r="S230" i="2" s="1"/>
  <c r="W260" i="2"/>
  <c r="P260" i="2"/>
  <c r="P270" i="2" s="1"/>
  <c r="O271" i="2" s="1"/>
  <c r="P261" i="2"/>
  <c r="W261" i="2"/>
  <c r="M143" i="2" l="1"/>
  <c r="AD230" i="2"/>
  <c r="T3" i="2" s="1"/>
  <c r="T228" i="2"/>
  <c r="S226" i="2" s="1"/>
  <c r="O262" i="2" s="1"/>
  <c r="P271" i="2"/>
  <c r="O272" i="2" s="1"/>
  <c r="L160" i="2"/>
  <c r="L146" i="2"/>
  <c r="L161" i="2" l="1"/>
  <c r="L147" i="2"/>
  <c r="M148" i="2" s="1"/>
  <c r="M149" i="2" s="1"/>
  <c r="O263" i="2"/>
  <c r="W262" i="2"/>
  <c r="W263" i="2" s="1"/>
  <c r="P248" i="2" s="1"/>
  <c r="P262" i="2"/>
  <c r="P263" i="2" s="1"/>
  <c r="L166" i="2"/>
  <c r="L167" i="2" l="1"/>
  <c r="M162" i="2"/>
  <c r="M163" i="2" s="1"/>
  <c r="N5" i="2"/>
  <c r="P272" i="2"/>
  <c r="T273" i="2" s="1"/>
  <c r="O248" i="2"/>
  <c r="N292" i="2"/>
  <c r="S233" i="2"/>
  <c r="L173" i="2"/>
  <c r="L174" i="2" l="1"/>
  <c r="M175" i="2" s="1"/>
  <c r="M176" i="2" s="1"/>
  <c r="M168" i="2"/>
  <c r="M169" i="2" s="1"/>
  <c r="M170" i="2" s="1"/>
  <c r="M171" i="2" s="1"/>
  <c r="P273" i="2"/>
  <c r="N6" i="2" s="1"/>
  <c r="L178" i="2"/>
  <c r="L197" i="2" s="1"/>
  <c r="L198" i="2" l="1"/>
  <c r="L179" i="2"/>
  <c r="L185" i="2"/>
  <c r="M199" i="2" l="1"/>
  <c r="L186" i="2"/>
  <c r="M180" i="2"/>
  <c r="M181" i="2" s="1"/>
  <c r="M182" i="2" s="1"/>
  <c r="M183" i="2" s="1"/>
  <c r="L205" i="2"/>
  <c r="M200" i="2" l="1"/>
  <c r="L206" i="2"/>
  <c r="M187" i="2"/>
  <c r="M188" i="2" s="1"/>
  <c r="M189" i="2" s="1"/>
  <c r="M190" i="2" s="1"/>
  <c r="M191" i="2" s="1"/>
  <c r="M192" i="2" s="1"/>
  <c r="L210" i="2"/>
  <c r="M201" i="2" l="1"/>
  <c r="M202" i="2" s="1"/>
  <c r="M203" i="2" s="1"/>
  <c r="L211" i="2"/>
  <c r="M207" i="2"/>
  <c r="M208" i="2" s="1"/>
  <c r="L214" i="2"/>
  <c r="L215" i="2" l="1"/>
  <c r="M212" i="2"/>
  <c r="L218" i="2"/>
  <c r="L219" i="2" l="1"/>
  <c r="M216" i="2"/>
  <c r="L228" i="2"/>
  <c r="L404" i="2"/>
  <c r="L229" i="2" l="1"/>
  <c r="M230" i="2" s="1"/>
  <c r="L405" i="2"/>
  <c r="M406" i="2" s="1"/>
  <c r="M220" i="2"/>
  <c r="M221" i="2" s="1"/>
  <c r="M222" i="2" s="1"/>
  <c r="M223" i="2" s="1"/>
</calcChain>
</file>

<file path=xl/sharedStrings.xml><?xml version="1.0" encoding="utf-8"?>
<sst xmlns="http://schemas.openxmlformats.org/spreadsheetml/2006/main" count="1417" uniqueCount="623">
  <si>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</si>
  <si>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</si>
  <si>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</si>
  <si>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</si>
  <si>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</si>
  <si>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</si>
  <si>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</si>
  <si>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</si>
  <si>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</si>
  <si>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</si>
  <si>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</si>
  <si>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</si>
  <si>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</si>
  <si>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</si>
  <si>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</si>
  <si>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</si>
  <si>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</si>
  <si>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</si>
  <si>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</si>
  <si>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</si>
  <si>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</si>
  <si>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</si>
  <si>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</si>
  <si>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</si>
  <si>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</si>
  <si>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</si>
  <si>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</si>
  <si>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</si>
  <si>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</si>
  <si>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</si>
  <si>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</si>
  <si>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</si>
  <si>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</si>
  <si>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</si>
  <si>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</si>
  <si>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</si>
  <si>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</si>
  <si>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</si>
  <si>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</si>
  <si>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</si>
  <si>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</si>
  <si>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</si>
  <si>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</si>
  <si>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</si>
  <si>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</si>
  <si>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</si>
  <si>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</si>
  <si>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</si>
  <si>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</si>
  <si>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</si>
  <si>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</si>
  <si>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</si>
  <si>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</si>
  <si>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</si>
  <si>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</si>
  <si>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</si>
  <si>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</si>
  <si>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</si>
  <si>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</si>
  <si>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</si>
  <si>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</si>
  <si>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</si>
  <si>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</si>
  <si>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</si>
  <si>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</si>
  <si>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</si>
  <si>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</si>
  <si>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</si>
  <si>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</si>
  <si>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</si>
  <si>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</si>
  <si>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</si>
  <si>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</si>
  <si>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</si>
  <si>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</si>
  <si>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</si>
  <si>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</si>
  <si>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</si>
  <si>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</si>
  <si>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</si>
  <si>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</si>
  <si>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</si>
  <si>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</si>
  <si>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</si>
  <si>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</si>
  <si>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</si>
  <si>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</si>
  <si>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</si>
  <si>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</si>
  <si>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</si>
  <si>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</si>
  <si>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</si>
  <si>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</si>
  <si>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</si>
  <si>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</si>
  <si>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</si>
  <si>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</si>
  <si>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</si>
  <si>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</si>
  <si>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</si>
  <si>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</si>
  <si>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</si>
  <si>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</si>
  <si>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</si>
  <si>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</si>
  <si>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</si>
  <si>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</si>
  <si>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</si>
  <si>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</si>
  <si>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</si>
  <si>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</si>
  <si>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</si>
  <si>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</si>
  <si>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</si>
  <si>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</si>
  <si>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</si>
  <si>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</si>
  <si>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</si>
  <si>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</si>
  <si>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</si>
  <si>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</si>
  <si>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</si>
  <si>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</si>
  <si>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</si>
  <si>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</si>
  <si>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</si>
  <si>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</si>
  <si>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</si>
  <si>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</si>
  <si>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</si>
  <si>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</si>
  <si>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</si>
  <si>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</si>
  <si>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</si>
  <si>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</si>
  <si>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</si>
  <si>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</si>
  <si>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</si>
  <si>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</si>
  <si>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</si>
  <si>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</si>
  <si>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</si>
  <si>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</si>
  <si>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</si>
  <si>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</si>
  <si>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</si>
  <si>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</si>
  <si>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</si>
  <si>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</si>
  <si>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</si>
  <si>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</si>
  <si>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</si>
  <si>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</si>
  <si>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</si>
  <si>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</si>
  <si>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</si>
  <si>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</si>
  <si>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</si>
  <si>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</si>
  <si>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</si>
  <si>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</si>
  <si>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</si>
  <si>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</si>
  <si>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</si>
  <si>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</si>
  <si>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</si>
  <si>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</si>
  <si>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</si>
  <si>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</si>
  <si>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</si>
  <si>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</si>
  <si>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</si>
  <si>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</si>
  <si>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</si>
  <si>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</si>
  <si>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</si>
  <si>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</si>
  <si>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</si>
  <si>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</si>
  <si>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</si>
  <si>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</si>
  <si>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</si>
  <si>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</si>
  <si>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</si>
  <si>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</si>
  <si>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</si>
  <si>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</si>
  <si>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</si>
  <si>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</si>
  <si>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</si>
  <si>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</si>
  <si>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</si>
  <si>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</si>
  <si>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</si>
  <si>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</si>
  <si>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</si>
  <si>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</si>
  <si>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</si>
  <si>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</si>
  <si>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</si>
  <si>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</si>
  <si>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</si>
  <si>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</si>
  <si>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</si>
  <si>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</si>
  <si>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</si>
  <si>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</si>
  <si>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</si>
  <si>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</si>
  <si>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</si>
  <si>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</si>
  <si>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</si>
  <si>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</si>
  <si>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</si>
  <si>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</si>
  <si>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</si>
  <si>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</si>
  <si>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</si>
  <si>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</si>
  <si>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</si>
  <si>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</si>
  <si>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</si>
  <si>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</si>
  <si>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</si>
  <si>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</si>
  <si>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</si>
  <si>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</si>
  <si>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</si>
  <si>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</si>
  <si>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</si>
  <si>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</si>
  <si>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</si>
  <si>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</si>
  <si>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</si>
  <si>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</si>
  <si>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</si>
  <si>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</si>
  <si>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</si>
  <si>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</si>
  <si>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</si>
  <si>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</si>
  <si>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</si>
  <si>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</si>
  <si>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</si>
  <si>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</si>
  <si>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</si>
  <si>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</si>
  <si>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</si>
  <si>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</si>
  <si>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</si>
  <si>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</si>
  <si>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</si>
  <si>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</si>
  <si>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</si>
  <si>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</si>
  <si>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</si>
  <si>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</si>
  <si>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</si>
  <si>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</si>
  <si>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</si>
  <si>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</si>
  <si>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</si>
  <si>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</si>
  <si>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</si>
  <si>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</si>
  <si>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</si>
  <si>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</si>
  <si>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</si>
  <si>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</si>
  <si>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</si>
  <si>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</si>
  <si>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</si>
  <si>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</si>
  <si>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</si>
  <si>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</si>
  <si>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</si>
  <si>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</si>
  <si>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</si>
  <si>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</si>
  <si>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</si>
  <si>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</si>
  <si>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</si>
  <si>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</si>
  <si>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</si>
  <si>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</si>
  <si>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</si>
  <si>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</si>
  <si>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</si>
  <si>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</si>
  <si>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</si>
  <si>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</si>
  <si>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</si>
  <si>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</si>
  <si>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</si>
  <si>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</si>
  <si>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</si>
  <si>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</si>
  <si>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</si>
  <si>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</si>
  <si>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</si>
  <si>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</si>
  <si>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</si>
  <si>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</si>
  <si>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</si>
  <si>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</si>
  <si>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</si>
  <si>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</si>
  <si>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</si>
  <si>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</si>
  <si>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</si>
  <si>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</si>
  <si>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</si>
  <si>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</si>
  <si>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</si>
  <si>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</si>
  <si>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</si>
  <si>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</si>
  <si>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</si>
  <si>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</si>
  <si>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</si>
  <si>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</si>
  <si>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</si>
  <si>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</si>
  <si>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</si>
  <si>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</si>
  <si>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</si>
  <si>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</si>
  <si>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</si>
  <si>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</si>
  <si>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</si>
  <si>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</si>
  <si>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</si>
  <si>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</si>
  <si>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</si>
  <si>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</si>
  <si>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</si>
  <si>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</si>
  <si>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</si>
  <si>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</si>
  <si>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</si>
  <si>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</si>
  <si>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</si>
  <si>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</si>
  <si>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</si>
  <si>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</si>
  <si>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</si>
  <si>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</si>
  <si>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</si>
  <si>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</si>
  <si>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</si>
  <si>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</si>
  <si>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</si>
  <si>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</si>
  <si>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</si>
  <si>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</si>
  <si>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</si>
  <si>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</si>
  <si>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</si>
  <si>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</si>
  <si>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</si>
  <si>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</si>
  <si>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</si>
  <si>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</si>
  <si>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</si>
  <si>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</si>
  <si>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</si>
  <si>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</si>
  <si>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</si>
  <si>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</si>
  <si>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</si>
  <si>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</si>
  <si>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</si>
  <si>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</si>
  <si>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</si>
  <si>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</si>
  <si>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</si>
  <si>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</si>
  <si>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</si>
  <si>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</si>
  <si>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</si>
  <si>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</si>
  <si>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</si>
  <si>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</si>
  <si>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</si>
  <si>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</si>
  <si>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</si>
  <si>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</si>
  <si>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</si>
  <si>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</si>
  <si>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</si>
  <si>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</si>
  <si>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</si>
  <si>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</si>
  <si>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</si>
  <si>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</si>
  <si>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</si>
  <si>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</si>
  <si>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</si>
  <si>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</si>
  <si>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</si>
  <si>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</si>
  <si>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</si>
  <si>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</si>
  <si>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</si>
  <si>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</si>
  <si>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</si>
  <si>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</si>
  <si>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</si>
  <si>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</si>
  <si>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</si>
  <si>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</si>
  <si>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</si>
  <si>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</si>
  <si>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</si>
  <si>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</si>
  <si>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</si>
  <si>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</si>
  <si>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</si>
  <si>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</si>
  <si>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</si>
  <si>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</si>
  <si>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</si>
  <si>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</si>
  <si>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</si>
  <si>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</si>
  <si>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</si>
  <si>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</si>
  <si>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</si>
  <si>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</si>
  <si>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</si>
  <si>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</si>
  <si>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</si>
  <si>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</si>
  <si>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</si>
  <si>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</si>
  <si>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</si>
  <si>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</si>
  <si>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</si>
  <si>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</si>
  <si>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</si>
  <si>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</si>
  <si>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</si>
  <si>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</si>
  <si>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</si>
  <si>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</si>
  <si>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</si>
  <si>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</si>
  <si>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</si>
  <si>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</si>
  <si>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</si>
  <si>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Data Migration</t>
  </si>
  <si>
    <t>Data Migration ETL Process</t>
  </si>
  <si>
    <t>Data Migration Execution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</si>
  <si>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</si>
  <si>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</si>
  <si>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</si>
  <si>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</si>
  <si>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</si>
  <si>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</si>
  <si>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Analysis of existing system architecture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</si>
  <si>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</si>
  <si>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</si>
  <si>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</si>
  <si>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</si>
  <si>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</si>
  <si>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</si>
  <si>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</si>
  <si>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</si>
  <si>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</si>
  <si>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</si>
  <si>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</si>
  <si>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>POC: &lt;POC description&gt;</t>
  </si>
  <si>
    <t>Tables</t>
  </si>
  <si>
    <t xml:space="preserve">High Level Analysis and design document preparation
</t>
  </si>
  <si>
    <t xml:space="preserve">Low level analysis and design document preparation
</t>
  </si>
  <si>
    <t>Database design and analysis document preparation
&gt;&gt; Data Dictionary etc.</t>
  </si>
  <si>
    <t>Review and Sign-off
&gt;&gt; Client review iterations and sign-off on design documents</t>
  </si>
  <si>
    <t>Design Analysis and Documentation</t>
  </si>
  <si>
    <t>Multi-layered architecture:
&gt;&gt; DAL, ORM, BLL, Façade, WCF services and Presentation layer
&gt;&gt; Communication design across layers through interfaces and DTOs</t>
  </si>
  <si>
    <t>X-cutting layers
&gt;&gt; Logging, Exception handling, caching, notification, etc.</t>
  </si>
  <si>
    <t>Security
&gt;&gt; Authentication, authorization framework</t>
  </si>
  <si>
    <t>Multi-lingual support</t>
  </si>
  <si>
    <t>Integration adaptor framework</t>
  </si>
  <si>
    <t>Schedular service</t>
  </si>
  <si>
    <t>UI Navigation framework</t>
  </si>
  <si>
    <t>Workflow management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</si>
  <si>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</si>
  <si>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</si>
  <si>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</si>
  <si>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</si>
  <si>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</si>
  <si>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</si>
  <si>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</si>
  <si>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</si>
  <si>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</si>
  <si>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</si>
  <si>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</si>
  <si>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</si>
  <si>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</si>
  <si>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</si>
  <si>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</si>
  <si>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</si>
  <si>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Screen: &lt;screen name&gt;
&gt;&gt; CRUD, List, Search</t>
  </si>
  <si>
    <t>Task: &lt;task name&gt;
&gt;&gt; Activity</t>
  </si>
  <si>
    <t>&gt;&gt; From older to new SQL Server DB
&gt;&gt; Master Script</t>
  </si>
  <si>
    <t>&gt;&gt; From older to new database
&gt;&gt; ETL Process and data de-duplication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</si>
  <si>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</si>
  <si>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</si>
  <si>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</si>
  <si>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</si>
  <si>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</si>
  <si>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</si>
  <si>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</si>
  <si>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</si>
  <si>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</si>
  <si>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</si>
  <si>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Multi-lingual testing</t>
  </si>
  <si>
    <t>Data migration testing</t>
  </si>
  <si>
    <t>Multi-browser testing</t>
  </si>
  <si>
    <t>Multi-device testing</t>
  </si>
  <si>
    <t>System Stabilization</t>
  </si>
  <si>
    <t>Performance tuning</t>
  </si>
  <si>
    <t>Bug fixing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</si>
  <si>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</si>
  <si>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</si>
  <si>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</si>
  <si>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</si>
  <si>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</si>
  <si>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</si>
  <si>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</si>
  <si>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</si>
  <si>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</si>
  <si>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</si>
  <si>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</si>
  <si>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</si>
  <si>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</si>
  <si>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</si>
  <si>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</si>
  <si>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</si>
  <si>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</si>
  <si>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</si>
  <si>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</si>
  <si>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</si>
  <si>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2 Resources for 4 weeks of 5 days each.</t>
  </si>
  <si>
    <t>1 Resource for 2 weeks of 5 days each.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</si>
  <si>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</si>
  <si>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</si>
  <si>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</si>
  <si>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</si>
  <si>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</si>
  <si>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</si>
  <si>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</si>
  <si>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</si>
  <si>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</si>
  <si>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</si>
  <si>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</si>
  <si>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</si>
  <si>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Based on Total Use Cases
(Filled automatically)</t>
  </si>
  <si>
    <t>Project Plan and Kick off
&gt;&gt; Team Introductions, Revise Project Schedule, Set Expectations</t>
  </si>
  <si>
    <t>Prepare Guide and Interview Users 
&gt;&gt; 10-12) Users</t>
  </si>
  <si>
    <t xml:space="preserve">Create User Profiles &amp; Personas </t>
  </si>
  <si>
    <t>Create User Journeys</t>
  </si>
  <si>
    <t>Client Presentation, review and Sign-off
&gt;&gt; Client review iterations and sign-off user profiles, personas &amp; journeys</t>
  </si>
  <si>
    <t>Iterations</t>
  </si>
  <si>
    <t>Competitor Analysis</t>
  </si>
  <si>
    <t>User Observaions</t>
  </si>
  <si>
    <t>Expert Review</t>
  </si>
  <si>
    <t>Task Anaysis</t>
  </si>
  <si>
    <t xml:space="preserve">Client Presentation, review and Sign-off
&gt;&gt; Review &amp; Analysis </t>
  </si>
  <si>
    <t>Card Sorting</t>
  </si>
  <si>
    <t>Create Site Map &amp; Content Inventory</t>
  </si>
  <si>
    <t>R1: Preliminary Wireframes (4-5)</t>
  </si>
  <si>
    <t>Reverse Card Sort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</si>
  <si>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</si>
  <si>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</si>
  <si>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</si>
  <si>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</si>
  <si>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Click thorugh mockups using Axure</t>
  </si>
  <si>
    <t>Final Revisions</t>
  </si>
  <si>
    <t>Mockups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</si>
  <si>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</si>
  <si>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</si>
  <si>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</si>
  <si>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</si>
  <si>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</si>
  <si>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</si>
  <si>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</si>
  <si>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</si>
  <si>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</si>
  <si>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</si>
  <si>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</si>
  <si>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Languages
Screens</t>
  </si>
  <si>
    <t>Browsers
Screens</t>
  </si>
  <si>
    <t>Devices
Screens</t>
  </si>
  <si>
    <t>2.0.4</t>
  </si>
  <si>
    <t xml:space="preserve">Accessibility Testing </t>
  </si>
  <si>
    <t>Usability Testing</t>
  </si>
  <si>
    <t>Screens</t>
  </si>
  <si>
    <t>% of the Use cases</t>
  </si>
  <si>
    <t>Considered 2% of overall use cases.</t>
  </si>
  <si>
    <t>Architecture Design</t>
  </si>
  <si>
    <t>Project Setup</t>
  </si>
  <si>
    <t>dev</t>
  </si>
  <si>
    <t>Configuration</t>
  </si>
  <si>
    <t>User Authentication</t>
  </si>
  <si>
    <t>architecture</t>
  </si>
  <si>
    <t>Product Listing &amp; Details</t>
  </si>
  <si>
    <t>Shopping Cart</t>
  </si>
  <si>
    <t>Checkout Process</t>
  </si>
  <si>
    <t>User Profile</t>
  </si>
  <si>
    <t>Admin Dashboard</t>
  </si>
  <si>
    <t>Responsive Design</t>
  </si>
  <si>
    <t>Performance Testing</t>
  </si>
  <si>
    <t>Integration Testing</t>
  </si>
  <si>
    <t>User Acceptance Testing</t>
  </si>
  <si>
    <t>Production Setup</t>
  </si>
  <si>
    <t>DevOps</t>
  </si>
  <si>
    <t>Deployment</t>
  </si>
  <si>
    <t>Monitoring Setup</t>
  </si>
  <si>
    <t>Documantation</t>
  </si>
  <si>
    <t>Design finilised and api contract finilized</t>
  </si>
  <si>
    <t>Design finilised</t>
  </si>
  <si>
    <t xml:space="preserve">fremwork in place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</si>
</sst>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[$-409]d\-mmm;@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21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5" fontId="0" fillId="5" borderId="10" xfId="0" applyNumberFormat="1" applyFill="1" applyBorder="1" applyAlignment="1" applyProtection="1">
      <alignment horizontal="center" vertical="top"/>
      <protection locked="0"/>
    </xf>
    <xf numFmtId="165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6" fontId="27" fillId="2" borderId="20" xfId="0" applyNumberFormat="1" applyFont="1" applyFill="1" applyBorder="1" applyAlignment="1">
      <alignment horizontal="center" textRotation="90"/>
    </xf>
    <xf numFmtId="166" fontId="27" fillId="2" borderId="3" xfId="0" applyNumberFormat="1" applyFont="1" applyFill="1" applyBorder="1" applyAlignment="1">
      <alignment horizontal="center" textRotation="90"/>
    </xf>
    <xf numFmtId="166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4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5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5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5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5" fontId="0" fillId="5" borderId="12" xfId="0" applyNumberFormat="1" applyFill="1" applyBorder="1" applyAlignment="1" applyProtection="1">
      <alignment horizontal="right" vertical="top"/>
      <protection locked="0"/>
    </xf>
    <xf numFmtId="165" fontId="0" fillId="14" borderId="12" xfId="0" applyNumberFormat="1" applyFill="1" applyBorder="1" applyAlignment="1" applyProtection="1">
      <alignment horizontal="right" vertical="top"/>
      <protection locked="0"/>
    </xf>
    <xf numFmtId="165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5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4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43" fontId="8" fillId="2" borderId="0" xfId="1" applyFont="1" applyFill="1" applyAlignment="1" applyProtection="1">
      <alignment vertical="center"/>
    </xf>
    <xf numFmtId="43" fontId="0" fillId="6" borderId="4" xfId="1" applyFont="1" applyFill="1" applyBorder="1" applyAlignment="1" applyProtection="1">
      <alignment vertical="top"/>
      <protection locked="0"/>
    </xf>
    <xf numFmtId="43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4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4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5" fontId="0" fillId="5" borderId="10" xfId="2" applyNumberFormat="1" applyFont="1" applyFill="1" applyBorder="1" applyAlignment="1" applyProtection="1">
      <alignment horizontal="right" vertical="top"/>
      <protection locked="0"/>
    </xf>
    <xf numFmtId="165" fontId="0" fillId="14" borderId="10" xfId="2" applyNumberFormat="1" applyFont="1" applyFill="1" applyBorder="1" applyAlignment="1" applyProtection="1">
      <alignment horizontal="right" vertical="top"/>
      <protection locked="0"/>
    </xf>
    <xf numFmtId="165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5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4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9" fillId="14" borderId="4" xfId="0" applyFont="1" applyFill="1" applyBorder="1" applyAlignment="1">
      <alignment horizontal="right" vertical="center"/>
    </xf>
    <xf numFmtId="0" fontId="78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8" fillId="2" borderId="0" xfId="0" applyFont="1" applyFill="1" applyAlignment="1" applyProtection="1">
      <alignment horizontal="left" vertical="center"/>
      <protection locked="0"/>
    </xf>
    <xf numFmtId="164" fontId="6" fillId="10" borderId="0" xfId="1" applyNumberFormat="1" applyFont="1" applyFill="1" applyBorder="1" applyAlignment="1" applyProtection="1">
      <alignment horizontal="right" vertical="center"/>
    </xf>
    <xf numFmtId="164" fontId="7" fillId="13" borderId="0" xfId="1" applyNumberFormat="1" applyFont="1" applyFill="1" applyAlignment="1" applyProtection="1">
      <alignment horizontal="left" vertical="center" indent="1"/>
    </xf>
    <xf numFmtId="164" fontId="6" fillId="10" borderId="0" xfId="1" applyNumberFormat="1" applyFont="1" applyFill="1" applyBorder="1" applyAlignment="1" applyProtection="1">
      <alignment horizontal="center" vertical="center"/>
    </xf>
    <xf numFmtId="164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Alignment="1">
      <alignment horizontal="left" vertical="center" wrapText="1"/>
    </xf>
    <xf numFmtId="0" fontId="4" fillId="14" borderId="0" xfId="0" applyFont="1" applyFill="1" applyAlignment="1">
      <alignment horizontal="right" wrapText="1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64" fontId="0" fillId="4" borderId="11" xfId="1" applyNumberFormat="1" applyFont="1" applyFill="1" applyBorder="1" applyAlignment="1" applyProtection="1">
      <alignment horizontal="center" vertical="top"/>
    </xf>
    <xf numFmtId="164" fontId="0" fillId="4" borderId="13" xfId="1" applyNumberFormat="1" applyFont="1" applyFill="1" applyBorder="1" applyAlignment="1" applyProtection="1">
      <alignment horizontal="center" vertical="top"/>
    </xf>
    <xf numFmtId="164" fontId="0" fillId="4" borderId="8" xfId="1" applyNumberFormat="1" applyFont="1" applyFill="1" applyBorder="1" applyAlignment="1" applyProtection="1">
      <alignment horizontal="center" vertical="top"/>
    </xf>
    <xf numFmtId="164" fontId="0" fillId="4" borderId="15" xfId="1" applyNumberFormat="1" applyFont="1" applyFill="1" applyBorder="1" applyAlignment="1" applyProtection="1">
      <alignment horizontal="center" vertical="top"/>
    </xf>
    <xf numFmtId="164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285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Estimation!$L$257:$L$262</c:f>
            </c:multiLvlStrRef>
          </c:cat>
          <c:val>
            <c:numRef>
              <c:f>Estimation!$O$257:$O$262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255</xdr:row>
      <xdr:rowOff>100852</xdr:rowOff>
    </xdr:from>
    <xdr:to>
      <xdr:col>26</xdr:col>
      <xdr:colOff>515471</xdr:colOff>
      <xdr:row>263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1562100</xdr:colOff>
          <xdr:row>9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629400" y="3235326"/>
          <a:ext cx="1219200" cy="135255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647950" y="19859625"/>
          <a:ext cx="416560" cy="36195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9293225" y="21764625"/>
          <a:ext cx="391160" cy="36195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6327775" y="23098125"/>
          <a:ext cx="416560" cy="36195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57225" y="25565100"/>
          <a:ext cx="391160" cy="36195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5210175" y="27241500"/>
          <a:ext cx="416560" cy="36195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958850" y="29651325"/>
          <a:ext cx="416560" cy="36195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496050" y="18564225"/>
          <a:ext cx="6374695" cy="2819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229225" y="27346275"/>
          <a:ext cx="7311219" cy="12571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baseColWidth="10" defaultColWidth="8.83203125" defaultRowHeight="15" outlineLevelRow="1" x14ac:dyDescent="0.2"/>
  <cols>
    <col min="1" max="1" width="3.83203125" customWidth="1"/>
    <col min="2" max="2" width="14.1640625" customWidth="1"/>
    <col min="3" max="3" width="32.33203125" customWidth="1"/>
  </cols>
  <sheetData>
    <row r="2" spans="2:3" collapsed="1" x14ac:dyDescent="0.2">
      <c r="B2" s="3" t="s">
        <v>16</v>
      </c>
      <c r="C2" s="4"/>
    </row>
    <row r="3" spans="2:3" hidden="1" outlineLevel="1" x14ac:dyDescent="0.2">
      <c r="B3" s="2" t="s">
        <v>23</v>
      </c>
      <c r="C3" s="2"/>
    </row>
    <row r="4" spans="2:3" hidden="1" outlineLevel="1" x14ac:dyDescent="0.2">
      <c r="B4" s="2" t="s">
        <v>6</v>
      </c>
      <c r="C4" s="2"/>
    </row>
    <row r="5" spans="2:3" hidden="1" outlineLevel="1" x14ac:dyDescent="0.2">
      <c r="B5" s="2" t="s">
        <v>7</v>
      </c>
      <c r="C5" s="2"/>
    </row>
    <row r="7" spans="2:3" collapsed="1" x14ac:dyDescent="0.2">
      <c r="B7" s="3" t="s">
        <v>17</v>
      </c>
      <c r="C7" s="4"/>
    </row>
    <row r="8" spans="2:3" hidden="1" outlineLevel="1" x14ac:dyDescent="0.2">
      <c r="B8" s="2" t="s">
        <v>23</v>
      </c>
      <c r="C8" s="2"/>
    </row>
    <row r="9" spans="2:3" hidden="1" outlineLevel="1" x14ac:dyDescent="0.2">
      <c r="B9" s="2" t="s">
        <v>8</v>
      </c>
      <c r="C9" s="2"/>
    </row>
    <row r="10" spans="2:3" hidden="1" outlineLevel="1" x14ac:dyDescent="0.2">
      <c r="B10" s="2" t="s">
        <v>13</v>
      </c>
      <c r="C10" s="2"/>
    </row>
    <row r="11" spans="2:3" hidden="1" outlineLevel="1" x14ac:dyDescent="0.2">
      <c r="B11" s="2" t="s">
        <v>14</v>
      </c>
      <c r="C11" s="2"/>
    </row>
    <row r="12" spans="2:3" hidden="1" outlineLevel="1" x14ac:dyDescent="0.2">
      <c r="B12" s="2" t="s">
        <v>15</v>
      </c>
      <c r="C12" s="2"/>
    </row>
    <row r="13" spans="2:3" hidden="1" outlineLevel="1" x14ac:dyDescent="0.2">
      <c r="B13" s="2" t="s">
        <v>9</v>
      </c>
      <c r="C13" s="2"/>
    </row>
    <row r="14" spans="2:3" hidden="1" outlineLevel="1" x14ac:dyDescent="0.2">
      <c r="B14" s="2" t="s">
        <v>10</v>
      </c>
      <c r="C14" s="2"/>
    </row>
    <row r="15" spans="2:3" hidden="1" outlineLevel="1" x14ac:dyDescent="0.2">
      <c r="B15" s="2" t="s">
        <v>12</v>
      </c>
      <c r="C15" s="2"/>
    </row>
    <row r="16" spans="2:3" hidden="1" outlineLevel="1" x14ac:dyDescent="0.2">
      <c r="B16" s="2" t="s">
        <v>11</v>
      </c>
      <c r="C16" s="2"/>
    </row>
    <row r="18" spans="2:3" collapsed="1" x14ac:dyDescent="0.2">
      <c r="B18" s="3" t="s">
        <v>24</v>
      </c>
      <c r="C18" s="4"/>
    </row>
    <row r="19" spans="2:3" hidden="1" outlineLevel="1" x14ac:dyDescent="0.2">
      <c r="B19" s="2" t="s">
        <v>23</v>
      </c>
      <c r="C19" s="2"/>
    </row>
    <row r="20" spans="2:3" hidden="1" outlineLevel="1" x14ac:dyDescent="0.2">
      <c r="B20" s="2" t="s">
        <v>18</v>
      </c>
      <c r="C20" s="2"/>
    </row>
    <row r="21" spans="2:3" hidden="1" outlineLevel="1" x14ac:dyDescent="0.2">
      <c r="B21" s="2" t="s">
        <v>19</v>
      </c>
      <c r="C21" s="2"/>
    </row>
    <row r="22" spans="2:3" hidden="1" outlineLevel="1" x14ac:dyDescent="0.2">
      <c r="B22" s="2" t="s">
        <v>20</v>
      </c>
      <c r="C22" s="2"/>
    </row>
    <row r="23" spans="2:3" hidden="1" outlineLevel="1" x14ac:dyDescent="0.2">
      <c r="B23" s="2" t="s">
        <v>21</v>
      </c>
      <c r="C23" s="2"/>
    </row>
    <row r="24" spans="2:3" hidden="1" outlineLevel="1" x14ac:dyDescent="0.2">
      <c r="B24" s="2" t="s">
        <v>22</v>
      </c>
      <c r="C24" s="2"/>
    </row>
    <row r="26" spans="2:3" collapsed="1" x14ac:dyDescent="0.2">
      <c r="B26" s="3" t="s">
        <v>28</v>
      </c>
      <c r="C26" s="4"/>
    </row>
    <row r="27" spans="2:3" hidden="1" outlineLevel="1" x14ac:dyDescent="0.2">
      <c r="B27" s="2" t="s">
        <v>23</v>
      </c>
      <c r="C27" s="2"/>
    </row>
    <row r="28" spans="2:3" hidden="1" outlineLevel="1" x14ac:dyDescent="0.2">
      <c r="B28" s="2" t="s">
        <v>25</v>
      </c>
      <c r="C28" s="2"/>
    </row>
    <row r="29" spans="2:3" hidden="1" outlineLevel="1" x14ac:dyDescent="0.2">
      <c r="B29" s="2" t="s">
        <v>27</v>
      </c>
      <c r="C29" s="2"/>
    </row>
    <row r="31" spans="2:3" collapsed="1" x14ac:dyDescent="0.2">
      <c r="B31" s="3" t="s">
        <v>35</v>
      </c>
      <c r="C31" s="3"/>
    </row>
    <row r="32" spans="2:3" hidden="1" outlineLevel="1" x14ac:dyDescent="0.2">
      <c r="B32" s="2" t="s">
        <v>23</v>
      </c>
      <c r="C32" s="2"/>
    </row>
    <row r="33" spans="2:3" hidden="1" outlineLevel="1" x14ac:dyDescent="0.2">
      <c r="B33" s="2" t="s">
        <v>32</v>
      </c>
      <c r="C33" s="2"/>
    </row>
    <row r="34" spans="2:3" hidden="1" outlineLevel="1" x14ac:dyDescent="0.2">
      <c r="B34" s="2" t="s">
        <v>33</v>
      </c>
      <c r="C34" s="2"/>
    </row>
    <row r="35" spans="2:3" hidden="1" outlineLevel="1" x14ac:dyDescent="0.2">
      <c r="B35" s="2" t="s">
        <v>34</v>
      </c>
      <c r="C35" s="2"/>
    </row>
    <row r="37" spans="2:3" collapsed="1" x14ac:dyDescent="0.2">
      <c r="B37" s="3" t="s">
        <v>37</v>
      </c>
      <c r="C37" s="3"/>
    </row>
    <row r="38" spans="2:3" hidden="1" outlineLevel="1" x14ac:dyDescent="0.2">
      <c r="B38" s="2" t="s">
        <v>23</v>
      </c>
      <c r="C38" s="2"/>
    </row>
    <row r="39" spans="2:3" hidden="1" outlineLevel="1" x14ac:dyDescent="0.2">
      <c r="B39" s="2" t="s">
        <v>38</v>
      </c>
      <c r="C39" s="2"/>
    </row>
    <row r="40" spans="2:3" hidden="1" outlineLevel="1" x14ac:dyDescent="0.2">
      <c r="B40" s="2" t="s">
        <v>39</v>
      </c>
      <c r="C40" s="2"/>
    </row>
    <row r="41" spans="2:3" hidden="1" outlineLevel="1" x14ac:dyDescent="0.2">
      <c r="B41" s="2" t="s">
        <v>40</v>
      </c>
      <c r="C41" s="2"/>
    </row>
    <row r="42" spans="2:3" hidden="1" outlineLevel="1" x14ac:dyDescent="0.2">
      <c r="B42" s="2" t="s">
        <v>41</v>
      </c>
      <c r="C42" s="2"/>
    </row>
    <row r="44" spans="2:3" collapsed="1" x14ac:dyDescent="0.2">
      <c r="B44" s="3" t="s">
        <v>44</v>
      </c>
      <c r="C44" s="4"/>
    </row>
    <row r="45" spans="2:3" hidden="1" outlineLevel="1" x14ac:dyDescent="0.2">
      <c r="B45" s="2" t="s">
        <v>23</v>
      </c>
      <c r="C45" s="2"/>
    </row>
    <row r="46" spans="2:3" hidden="1" outlineLevel="1" x14ac:dyDescent="0.2">
      <c r="B46" s="2" t="s">
        <v>42</v>
      </c>
      <c r="C46" s="2"/>
    </row>
    <row r="47" spans="2:3" hidden="1" outlineLevel="1" x14ac:dyDescent="0.2">
      <c r="B47" s="2" t="s">
        <v>43</v>
      </c>
      <c r="C47" s="2"/>
    </row>
    <row r="48" spans="2:3" hidden="1" outlineLevel="1" x14ac:dyDescent="0.2">
      <c r="B48" s="2" t="s">
        <v>45</v>
      </c>
      <c r="C48" s="2"/>
    </row>
    <row r="50" spans="2:3" collapsed="1" x14ac:dyDescent="0.2">
      <c r="B50" s="3" t="s">
        <v>52</v>
      </c>
      <c r="C50" s="3"/>
    </row>
    <row r="51" spans="2:3" hidden="1" outlineLevel="1" x14ac:dyDescent="0.2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2">
      <c r="B52" s="2" t="s">
        <v>126</v>
      </c>
      <c r="C52" s="151">
        <f>CUSTOM_PERCENT*-1</f>
        <v>-0.25</v>
      </c>
    </row>
    <row r="53" spans="2:3" hidden="1" outlineLevel="1" x14ac:dyDescent="0.2">
      <c r="B53" s="2" t="s">
        <v>55</v>
      </c>
      <c r="C53" s="151">
        <v>0</v>
      </c>
    </row>
    <row r="54" spans="2:3" hidden="1" outlineLevel="1" x14ac:dyDescent="0.2">
      <c r="B54" s="2" t="s">
        <v>127</v>
      </c>
      <c r="C54" s="151">
        <f>CUSTOM_PERCENT</f>
        <v>0.25</v>
      </c>
    </row>
    <row r="55" spans="2:3" hidden="1" outlineLevel="1" x14ac:dyDescent="0.2">
      <c r="B55" s="2" t="s">
        <v>53</v>
      </c>
      <c r="C55" s="151">
        <f>MAX_EFFORT_PERCENT</f>
        <v>0.2</v>
      </c>
    </row>
    <row r="57" spans="2:3" collapsed="1" x14ac:dyDescent="0.2">
      <c r="B57" s="3" t="s">
        <v>61</v>
      </c>
      <c r="C57" s="3"/>
    </row>
    <row r="58" spans="2:3" hidden="1" outlineLevel="1" x14ac:dyDescent="0.2">
      <c r="B58" s="2" t="s">
        <v>63</v>
      </c>
      <c r="C58" s="2"/>
    </row>
    <row r="59" spans="2:3" hidden="1" outlineLevel="1" x14ac:dyDescent="0.2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412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AF203" sqref="AF203"/>
    </sheetView>
  </sheetViews>
  <sheetFormatPr baseColWidth="10" defaultColWidth="9.1640625" defaultRowHeight="15" outlineLevelRow="2" outlineLevelCol="1" x14ac:dyDescent="0.2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8" width="8.5" style="16" hidden="1" customWidth="1" outlineLevel="1"/>
    <col min="9" max="9" width="7.1640625" style="16" hidden="1" customWidth="1" outlineLevel="1"/>
    <col min="10" max="10" width="7.6640625" style="16" hidden="1" customWidth="1" outlineLevel="1"/>
    <col min="11" max="11" width="37.5" style="16" hidden="1" customWidth="1" outlineLevel="1"/>
    <col min="12" max="12" width="3.83203125" style="16" customWidth="1"/>
    <col min="13" max="13" width="5.6640625" style="269" customWidth="1"/>
    <col min="14" max="14" width="42.6640625" style="24" customWidth="1"/>
    <col min="15" max="15" width="13.1640625" style="24" customWidth="1"/>
    <col min="16" max="16" width="17.1640625" style="16" customWidth="1"/>
    <col min="17" max="17" width="7" style="16" customWidth="1"/>
    <col min="18" max="18" width="6.5" style="16" customWidth="1"/>
    <col min="19" max="19" width="12" style="16" customWidth="1"/>
    <col min="20" max="20" width="10.6640625" style="16" customWidth="1"/>
    <col min="21" max="21" width="6.83203125" style="16" customWidth="1" outlineLevel="1"/>
    <col min="22" max="22" width="6.1640625" style="16" customWidth="1" outlineLevel="1"/>
    <col min="23" max="23" width="6" style="16" customWidth="1" outlineLevel="1"/>
    <col min="24" max="24" width="11.6640625" style="16" customWidth="1" outlineLevel="1"/>
    <col min="25" max="25" width="11" style="16" customWidth="1" outlineLevel="1"/>
    <col min="26" max="26" width="6.5" style="16" customWidth="1" outlineLevel="1"/>
    <col min="27" max="27" width="11" style="16" customWidth="1" outlineLevel="1"/>
    <col min="28" max="28" width="35.6640625" style="24" customWidth="1"/>
    <col min="29" max="29" width="1.5" style="10" customWidth="1"/>
    <col min="30" max="30" width="19" style="10" customWidth="1"/>
    <col min="31" max="16384" width="9.1640625" style="16"/>
  </cols>
  <sheetData>
    <row r="1" spans="1:30" s="9" customFormat="1" ht="4.5" customHeight="1" x14ac:dyDescent="0.2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2">
      <c r="A2" s="86"/>
      <c r="C2" s="293" t="s">
        <v>151</v>
      </c>
      <c r="D2" s="293"/>
      <c r="E2" s="293"/>
      <c r="F2" s="293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3">
      <c r="A3" s="86"/>
      <c r="C3" s="293"/>
      <c r="D3" s="293"/>
      <c r="E3" s="293"/>
      <c r="F3" s="293"/>
      <c r="G3" s="298" t="s">
        <v>548</v>
      </c>
      <c r="H3" s="298"/>
      <c r="I3" s="298"/>
      <c r="J3" s="298"/>
      <c r="K3" s="273" t="s">
        <v>594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Client Name - Project Name (- - Project) - RFP Name</v>
      </c>
      <c r="O3" s="139"/>
      <c r="P3" s="139"/>
      <c r="Q3" s="139"/>
      <c r="R3" s="139"/>
      <c r="S3" s="179"/>
      <c r="T3" s="241" t="str">
        <f>IF(COUNTIF(AD9:AD233, "Error:*") = 0, "", COUNTIF(AD9:AD233, "Error:*") &amp; " errors")</f>
        <v>74 errors</v>
      </c>
      <c r="U3" s="139"/>
      <c r="V3" s="139"/>
      <c r="W3" s="139"/>
      <c r="X3" s="191" t="s">
        <v>186</v>
      </c>
      <c r="Y3" s="193" t="s">
        <v>190</v>
      </c>
      <c r="Z3" s="195"/>
      <c r="AA3" s="194"/>
      <c r="AB3" s="243"/>
      <c r="AC3" s="87"/>
      <c r="AD3" s="10"/>
    </row>
    <row r="4" spans="1:30" s="9" customFormat="1" ht="4.5" customHeight="1" x14ac:dyDescent="0.2">
      <c r="A4" s="86"/>
      <c r="C4" s="293"/>
      <c r="D4" s="293"/>
      <c r="E4" s="293"/>
      <c r="F4" s="293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2">
      <c r="A5" s="86"/>
      <c r="C5" s="293"/>
      <c r="D5" s="293"/>
      <c r="E5" s="293"/>
      <c r="F5" s="293"/>
      <c r="G5" s="87"/>
      <c r="H5" s="199"/>
      <c r="I5" s="199" t="s">
        <v>275</v>
      </c>
      <c r="J5" s="299">
        <v>42565</v>
      </c>
      <c r="K5" s="299"/>
      <c r="L5" s="87"/>
      <c r="M5" s="255"/>
      <c r="N5" s="90" t="str">
        <f>IF(TOTAL_EFFORT&lt;=0, "", CHOSEN_CURRENCY&amp;" "&amp;TEXT(CEILING(($W$263/1000),1),"##,##,###")&amp;" K  ●  "&amp;TEXT(TOTAL_EFFORT,"##,##,###")&amp;" PDs ("&amp;TEXT(TOTAL_WEEKS,"##,###"&amp;" Wk)"))</f>
        <v>- 63 K  ●  279 PDs (56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191</v>
      </c>
      <c r="Z5" s="194"/>
      <c r="AA5" s="194"/>
      <c r="AB5" s="280" t="s">
        <v>110</v>
      </c>
      <c r="AC5" s="89"/>
      <c r="AD5" s="10"/>
    </row>
    <row r="6" spans="1:30" s="9" customFormat="1" ht="20.25" customHeight="1" x14ac:dyDescent="0.2">
      <c r="A6" s="86"/>
      <c r="C6" s="293"/>
      <c r="D6" s="293"/>
      <c r="E6" s="293"/>
      <c r="F6" s="293"/>
      <c r="G6" s="87"/>
      <c r="H6" s="199"/>
      <c r="I6" s="199" t="s">
        <v>276</v>
      </c>
      <c r="J6" s="87" t="s">
        <v>549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20 Wk  (5 M), Manual: -143 Wk (-35.5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189</v>
      </c>
      <c r="Z6" s="194"/>
      <c r="AA6" s="194"/>
      <c r="AB6" s="280"/>
      <c r="AC6" s="89"/>
      <c r="AD6" s="10"/>
    </row>
    <row r="7" spans="1:30" s="9" customFormat="1" ht="4.5" customHeight="1" x14ac:dyDescent="0.2">
      <c r="A7" s="86"/>
      <c r="C7" s="293"/>
      <c r="D7" s="293"/>
      <c r="E7" s="293"/>
      <c r="F7" s="293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2">
      <c r="A8" s="86"/>
      <c r="C8" s="293"/>
      <c r="D8" s="293"/>
      <c r="E8" s="293"/>
      <c r="F8" s="293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2">
      <c r="A9" s="86"/>
      <c r="C9" s="293"/>
      <c r="D9" s="293"/>
      <c r="E9" s="293"/>
      <c r="F9" s="293"/>
      <c r="G9" s="295" t="s">
        <v>131</v>
      </c>
      <c r="H9" s="295"/>
      <c r="I9" s="295"/>
      <c r="J9" s="295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2">
      <c r="A10" s="86" t="s">
        <v>148</v>
      </c>
      <c r="C10" s="294" t="s">
        <v>109</v>
      </c>
      <c r="D10" s="294"/>
      <c r="E10" s="294"/>
      <c r="F10" s="294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81" t="s">
        <v>57</v>
      </c>
      <c r="Q10" s="282"/>
      <c r="R10" s="283"/>
      <c r="S10" s="38"/>
      <c r="T10" s="227"/>
      <c r="U10" s="281" t="s">
        <v>58</v>
      </c>
      <c r="V10" s="282"/>
      <c r="W10" s="283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2">
      <c r="A11" s="86" t="s">
        <v>104</v>
      </c>
      <c r="C11" s="294" t="s">
        <v>152</v>
      </c>
      <c r="D11" s="294"/>
      <c r="E11" s="294"/>
      <c r="F11" s="294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430</v>
      </c>
      <c r="P11" s="7" t="s">
        <v>3</v>
      </c>
      <c r="Q11" s="49" t="s">
        <v>153</v>
      </c>
      <c r="R11" s="48" t="s">
        <v>51</v>
      </c>
      <c r="S11" s="311" t="s">
        <v>59</v>
      </c>
      <c r="T11" s="312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444</v>
      </c>
      <c r="AC11" s="6"/>
      <c r="AD11" s="10"/>
    </row>
    <row r="12" spans="1:30" s="14" customFormat="1" ht="19" x14ac:dyDescent="0.2">
      <c r="A12" s="86" t="s">
        <v>98</v>
      </c>
      <c r="B12" s="12"/>
      <c r="C12" s="296" t="s">
        <v>150</v>
      </c>
      <c r="D12" s="297"/>
      <c r="E12" s="297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275">
        <f>CEILING(SUMIF(J13:J64, "&lt;&gt;Yes", T13:T64),1)</f>
        <v>137</v>
      </c>
      <c r="T12" s="275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customHeight="1" outlineLevel="1" x14ac:dyDescent="0.2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6" outlineLevel="1" x14ac:dyDescent="0.2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74" t="s">
        <v>458</v>
      </c>
      <c r="N14" s="274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125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customHeight="1" outlineLevel="2" x14ac:dyDescent="0.2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48" outlineLevel="2" x14ac:dyDescent="0.2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537</v>
      </c>
      <c r="L16" s="19"/>
      <c r="M16" s="263" t="str">
        <f ca="1">IFERROR(OFFSET(M16,-1,,1,1)+0.1,OFFSET(M16,-1,-1,1,1)&amp;".1")</f>
        <v>1.1</v>
      </c>
      <c r="N16" s="20" t="s">
        <v>459</v>
      </c>
      <c r="O16" s="20"/>
      <c r="P16" s="20"/>
      <c r="Q16" s="134">
        <v>2</v>
      </c>
      <c r="R16" s="127"/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10</v>
      </c>
      <c r="T16" s="158"/>
      <c r="U16" s="21">
        <v>0</v>
      </c>
      <c r="V16" s="21">
        <v>1</v>
      </c>
      <c r="W16" s="21">
        <v>0</v>
      </c>
      <c r="X16" s="156">
        <v>5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10</v>
      </c>
      <c r="Z16" s="22"/>
      <c r="AA16" s="157">
        <f>Y16+Y16*VLOOKUP(I16,EXTRAS_ARRAY,2,FALSE)</f>
        <v>10</v>
      </c>
      <c r="AB16" s="20"/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48" outlineLevel="2" x14ac:dyDescent="0.2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551</v>
      </c>
      <c r="O17" s="20"/>
      <c r="P17" s="20"/>
      <c r="Q17" s="134">
        <v>22</v>
      </c>
      <c r="R17" s="127"/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110</v>
      </c>
      <c r="T17" s="158"/>
      <c r="U17" s="21">
        <v>0</v>
      </c>
      <c r="V17" s="21">
        <v>1</v>
      </c>
      <c r="W17" s="21">
        <v>0</v>
      </c>
      <c r="X17" s="156">
        <v>5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110</v>
      </c>
      <c r="Z17" s="22"/>
      <c r="AA17" s="157">
        <f>Y17+Y17*VLOOKUP(I17,EXTRAS_ARRAY,2,FALSE)</f>
        <v>110</v>
      </c>
      <c r="AB17" s="20"/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28" outlineLevel="2" x14ac:dyDescent="0.2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556</v>
      </c>
      <c r="O18" s="20"/>
      <c r="P18" s="20" t="s">
        <v>557</v>
      </c>
      <c r="Q18" s="134">
        <f>Total_Use_Cases</f>
        <v>0</v>
      </c>
      <c r="R18" s="127"/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5</v>
      </c>
      <c r="T18" s="158"/>
      <c r="U18" s="21">
        <v>0</v>
      </c>
      <c r="V18" s="21">
        <v>1</v>
      </c>
      <c r="W18" s="21">
        <v>0</v>
      </c>
      <c r="X18" s="156">
        <v>5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5</v>
      </c>
      <c r="Z18" s="22"/>
      <c r="AA18" s="157">
        <f>Y18+Y18*VLOOKUP(I18,EXTRAS_ARRAY,2,FALSE)</f>
        <v>5</v>
      </c>
      <c r="AB18" s="20"/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customHeight="1" outlineLevel="2" x14ac:dyDescent="0.2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6" outlineLevel="1" collapsed="1" x14ac:dyDescent="0.2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74" t="s">
        <v>460</v>
      </c>
      <c r="N20" s="274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2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48" hidden="1" outlineLevel="2" x14ac:dyDescent="0.2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558</v>
      </c>
      <c r="O22" s="20"/>
      <c r="P22" s="20"/>
      <c r="Q22" s="134"/>
      <c r="R22" s="127"/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0</v>
      </c>
      <c r="T22" s="158"/>
      <c r="U22" s="21">
        <v>0</v>
      </c>
      <c r="V22" s="21">
        <v>1</v>
      </c>
      <c r="W22" s="21">
        <v>0</v>
      </c>
      <c r="X22" s="156"/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0</v>
      </c>
      <c r="Z22" s="22"/>
      <c r="AA22" s="157">
        <f>Y22+Y22*VLOOKUP(I22,EXTRAS_ARRAY,2,FALSE)</f>
        <v>0</v>
      </c>
      <c r="AB22" s="20"/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>Error: Effort value is not defined or is invalid.</v>
      </c>
    </row>
    <row r="23" spans="1:30" ht="48" hidden="1" outlineLevel="2" x14ac:dyDescent="0.2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461</v>
      </c>
      <c r="O23" s="20" t="s">
        <v>539</v>
      </c>
      <c r="P23" s="20"/>
      <c r="Q23" s="134"/>
      <c r="R23" s="127"/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0</v>
      </c>
      <c r="T23" s="158"/>
      <c r="U23" s="21">
        <v>0</v>
      </c>
      <c r="V23" s="21">
        <v>1</v>
      </c>
      <c r="W23" s="21">
        <v>0</v>
      </c>
      <c r="X23" s="156"/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0</v>
      </c>
      <c r="Z23" s="22"/>
      <c r="AA23" s="157">
        <f>Y23+Y23*VLOOKUP(I23,EXTRAS_ARRAY,2,FALSE)</f>
        <v>0</v>
      </c>
      <c r="AB23" s="20"/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>Error: Effort value is not defined or is invalid.</v>
      </c>
    </row>
    <row r="24" spans="1:30" ht="48" hidden="1" outlineLevel="2" x14ac:dyDescent="0.2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538</v>
      </c>
      <c r="L24" s="19"/>
      <c r="M24" s="263">
        <f ca="1">IFERROR(OFFSET(M24,-1,,1,1)+0.1,OFFSET(M24,-1,-1,1,1)&amp;".1")</f>
        <v>2.3000000000000003</v>
      </c>
      <c r="N24" s="20" t="s">
        <v>462</v>
      </c>
      <c r="O24" s="20"/>
      <c r="P24" s="20"/>
      <c r="Q24" s="134"/>
      <c r="R24" s="127"/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0</v>
      </c>
      <c r="T24" s="158"/>
      <c r="U24" s="21">
        <v>0</v>
      </c>
      <c r="V24" s="21">
        <v>1</v>
      </c>
      <c r="W24" s="21">
        <v>0</v>
      </c>
      <c r="X24" s="156"/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0</v>
      </c>
      <c r="Z24" s="22"/>
      <c r="AA24" s="157">
        <f>Y24+Y24*VLOOKUP(I24,EXTRAS_ARRAY,2,FALSE)</f>
        <v>0</v>
      </c>
      <c r="AB24" s="20"/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>Error: Effort value is not defined or is invalid.</v>
      </c>
    </row>
    <row r="25" spans="1:30" s="9" customFormat="1" ht="7.5" hidden="1" customHeight="1" outlineLevel="2" x14ac:dyDescent="0.2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6" outlineLevel="1" collapsed="1" x14ac:dyDescent="0.2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74" t="s">
        <v>550</v>
      </c>
      <c r="N26" s="274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0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2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48" hidden="1" outlineLevel="2" x14ac:dyDescent="0.2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559</v>
      </c>
      <c r="O28" s="20"/>
      <c r="P28" s="20"/>
      <c r="Q28" s="134"/>
      <c r="R28" s="127"/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0</v>
      </c>
      <c r="T28" s="158"/>
      <c r="U28" s="21">
        <v>0</v>
      </c>
      <c r="V28" s="21">
        <v>1</v>
      </c>
      <c r="W28" s="21">
        <v>0</v>
      </c>
      <c r="X28" s="156"/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0</v>
      </c>
      <c r="Z28" s="22"/>
      <c r="AA28" s="157">
        <f>Y28+Y28*VLOOKUP(I28,EXTRAS_ARRAY,2,FALSE)</f>
        <v>0</v>
      </c>
      <c r="AB28" s="20"/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>Error: Effort value is not defined or is invalid.</v>
      </c>
    </row>
    <row r="29" spans="1:30" ht="48" hidden="1" outlineLevel="2" x14ac:dyDescent="0.2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560</v>
      </c>
      <c r="O29" s="20" t="s">
        <v>563</v>
      </c>
      <c r="P29" s="20"/>
      <c r="Q29" s="134"/>
      <c r="R29" s="127"/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0</v>
      </c>
      <c r="T29" s="158"/>
      <c r="U29" s="21">
        <v>0</v>
      </c>
      <c r="V29" s="21">
        <v>1</v>
      </c>
      <c r="W29" s="21">
        <v>0</v>
      </c>
      <c r="X29" s="156"/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0</v>
      </c>
      <c r="Z29" s="22"/>
      <c r="AA29" s="157">
        <f>Y29+Y29*VLOOKUP(I29,EXTRAS_ARRAY,2,FALSE)</f>
        <v>0</v>
      </c>
      <c r="AB29" s="20"/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>Error: Effort value is not defined or is invalid.</v>
      </c>
    </row>
    <row r="30" spans="1:30" ht="48" hidden="1" outlineLevel="2" x14ac:dyDescent="0.2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561</v>
      </c>
      <c r="O30" s="20" t="s">
        <v>563</v>
      </c>
      <c r="P30" s="20"/>
      <c r="Q30" s="134"/>
      <c r="R30" s="127"/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0</v>
      </c>
      <c r="T30" s="158"/>
      <c r="U30" s="21">
        <v>0</v>
      </c>
      <c r="V30" s="21">
        <v>1</v>
      </c>
      <c r="W30" s="21">
        <v>0</v>
      </c>
      <c r="X30" s="156"/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0</v>
      </c>
      <c r="Z30" s="22"/>
      <c r="AA30" s="157">
        <f>Y30+Y30*VLOOKUP(I30,EXTRAS_ARRAY,2,FALSE)</f>
        <v>0</v>
      </c>
      <c r="AB30" s="20"/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>Error: Effort value is not defined or is invalid.</v>
      </c>
    </row>
    <row r="31" spans="1:30" ht="48" hidden="1" outlineLevel="2" x14ac:dyDescent="0.2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562</v>
      </c>
      <c r="O31" s="20"/>
      <c r="P31" s="20"/>
      <c r="Q31" s="134"/>
      <c r="R31" s="127"/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0</v>
      </c>
      <c r="T31" s="158"/>
      <c r="U31" s="21">
        <v>0</v>
      </c>
      <c r="V31" s="21">
        <v>1</v>
      </c>
      <c r="W31" s="21">
        <v>0</v>
      </c>
      <c r="X31" s="156"/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0</v>
      </c>
      <c r="Z31" s="22"/>
      <c r="AA31" s="157">
        <f>Y31+Y31*VLOOKUP(I31,EXTRAS_ARRAY,2,FALSE)</f>
        <v>0</v>
      </c>
      <c r="AB31" s="20"/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>Error: Effort value is not defined or is invalid.</v>
      </c>
    </row>
    <row r="32" spans="1:30" s="9" customFormat="1" ht="7.5" hidden="1" customHeight="1" outlineLevel="2" x14ac:dyDescent="0.2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6" outlineLevel="1" collapsed="1" x14ac:dyDescent="0.2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74" t="s">
        <v>552</v>
      </c>
      <c r="N33" s="274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0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2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48" hidden="1" outlineLevel="2" x14ac:dyDescent="0.2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564</v>
      </c>
      <c r="O35" s="20" t="s">
        <v>563</v>
      </c>
      <c r="P35" s="20"/>
      <c r="Q35" s="134"/>
      <c r="R35" s="127"/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0</v>
      </c>
      <c r="T35" s="158"/>
      <c r="U35" s="21">
        <v>0</v>
      </c>
      <c r="V35" s="21">
        <v>1</v>
      </c>
      <c r="W35" s="21">
        <v>0</v>
      </c>
      <c r="X35" s="156"/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0</v>
      </c>
      <c r="Z35" s="22"/>
      <c r="AA35" s="157">
        <f>Y35+Y35*VLOOKUP(I35,EXTRAS_ARRAY,2,FALSE)</f>
        <v>0</v>
      </c>
      <c r="AB35" s="20"/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>Error: Effort value is not defined or is invalid.</v>
      </c>
    </row>
    <row r="36" spans="1:30" ht="48" hidden="1" outlineLevel="2" x14ac:dyDescent="0.2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565</v>
      </c>
      <c r="O36" s="20" t="s">
        <v>563</v>
      </c>
      <c r="P36" s="20"/>
      <c r="Q36" s="134"/>
      <c r="R36" s="127"/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0</v>
      </c>
      <c r="T36" s="158"/>
      <c r="U36" s="21">
        <v>0</v>
      </c>
      <c r="V36" s="21">
        <v>1</v>
      </c>
      <c r="W36" s="21">
        <v>0</v>
      </c>
      <c r="X36" s="156"/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0</v>
      </c>
      <c r="Z36" s="22"/>
      <c r="AA36" s="157">
        <f>Y36+Y36*VLOOKUP(I36,EXTRAS_ARRAY,2,FALSE)</f>
        <v>0</v>
      </c>
      <c r="AB36" s="20"/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>Error: Effort value is not defined or is invalid.</v>
      </c>
    </row>
    <row r="37" spans="1:30" ht="48" hidden="1" outlineLevel="2" x14ac:dyDescent="0.2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566</v>
      </c>
      <c r="O37" s="20" t="s">
        <v>563</v>
      </c>
      <c r="P37" s="20"/>
      <c r="Q37" s="134"/>
      <c r="R37" s="127"/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0</v>
      </c>
      <c r="T37" s="158"/>
      <c r="U37" s="21">
        <v>0</v>
      </c>
      <c r="V37" s="21">
        <v>1</v>
      </c>
      <c r="W37" s="21">
        <v>0</v>
      </c>
      <c r="X37" s="156"/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0</v>
      </c>
      <c r="Z37" s="22"/>
      <c r="AA37" s="157">
        <f>Y37+Y37*VLOOKUP(I37,EXTRAS_ARRAY,2,FALSE)</f>
        <v>0</v>
      </c>
      <c r="AB37" s="20"/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>Error: Effort value is not defined or is invalid.</v>
      </c>
    </row>
    <row r="38" spans="1:30" ht="48" hidden="1" outlineLevel="2" x14ac:dyDescent="0.2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567</v>
      </c>
      <c r="O38" s="20" t="s">
        <v>563</v>
      </c>
      <c r="P38" s="20"/>
      <c r="Q38" s="134"/>
      <c r="R38" s="127"/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0</v>
      </c>
      <c r="T38" s="158"/>
      <c r="U38" s="21">
        <v>0</v>
      </c>
      <c r="V38" s="21">
        <v>1</v>
      </c>
      <c r="W38" s="21">
        <v>0</v>
      </c>
      <c r="X38" s="156"/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0</v>
      </c>
      <c r="Z38" s="22"/>
      <c r="AA38" s="157">
        <f>Y38+Y38*VLOOKUP(I38,EXTRAS_ARRAY,2,FALSE)</f>
        <v>0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>Error: Effort value is not defined or is invalid.</v>
      </c>
    </row>
    <row r="39" spans="1:30" ht="48" hidden="1" outlineLevel="2" x14ac:dyDescent="0.2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568</v>
      </c>
      <c r="O39" s="20"/>
      <c r="P39" s="20"/>
      <c r="Q39" s="134"/>
      <c r="R39" s="127"/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0</v>
      </c>
      <c r="T39" s="158"/>
      <c r="U39" s="21">
        <v>0</v>
      </c>
      <c r="V39" s="21">
        <v>1</v>
      </c>
      <c r="W39" s="21">
        <v>0</v>
      </c>
      <c r="X39" s="156"/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0</v>
      </c>
      <c r="Z39" s="22"/>
      <c r="AA39" s="157">
        <f>Y39+Y39*VLOOKUP(I39,EXTRAS_ARRAY,2,FALSE)</f>
        <v>0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>Error: Effort value is not defined or is invalid.</v>
      </c>
    </row>
    <row r="40" spans="1:30" s="9" customFormat="1" ht="7.5" hidden="1" customHeight="1" outlineLevel="2" x14ac:dyDescent="0.2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6" outlineLevel="1" collapsed="1" x14ac:dyDescent="0.2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74" t="s">
        <v>553</v>
      </c>
      <c r="N41" s="274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0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2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28" hidden="1" outlineLevel="2" x14ac:dyDescent="0.2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463</v>
      </c>
      <c r="O43" s="20" t="s">
        <v>540</v>
      </c>
      <c r="P43" s="20">
        <f>Total_FRs * R43</f>
        <v>0</v>
      </c>
      <c r="Q43" s="134">
        <f>Total_FRs</f>
        <v>0</v>
      </c>
      <c r="R43" s="127"/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0</v>
      </c>
      <c r="T43" s="158"/>
      <c r="U43" s="21">
        <v>0</v>
      </c>
      <c r="V43" s="21">
        <v>1</v>
      </c>
      <c r="W43" s="21">
        <v>0</v>
      </c>
      <c r="X43" s="156"/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0</v>
      </c>
      <c r="Z43" s="22"/>
      <c r="AA43" s="157">
        <f>Y43+Y43*VLOOKUP(I43,EXTRAS_ARRAY,2,FALSE)</f>
        <v>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>Error: Effort value is not defined or is invalid.</v>
      </c>
    </row>
    <row r="44" spans="1:30" ht="48" hidden="1" outlineLevel="2" x14ac:dyDescent="0.2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464</v>
      </c>
      <c r="O44" s="20"/>
      <c r="P44" s="20"/>
      <c r="Q44" s="134"/>
      <c r="R44" s="127"/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0</v>
      </c>
      <c r="T44" s="158"/>
      <c r="U44" s="21">
        <v>0</v>
      </c>
      <c r="V44" s="21">
        <v>1</v>
      </c>
      <c r="W44" s="21">
        <v>0</v>
      </c>
      <c r="X44" s="156"/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0</v>
      </c>
      <c r="Z44" s="22"/>
      <c r="AA44" s="157">
        <f>Y44+Y44*VLOOKUP(I44,EXTRAS_ARRAY,2,FALSE)</f>
        <v>0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>Error: Effort value is not defined or is invalid.</v>
      </c>
    </row>
    <row r="45" spans="1:30" ht="48" hidden="1" outlineLevel="2" x14ac:dyDescent="0.2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465</v>
      </c>
      <c r="O45" s="20"/>
      <c r="P45" s="20"/>
      <c r="Q45" s="134"/>
      <c r="R45" s="127"/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0</v>
      </c>
      <c r="T45" s="158"/>
      <c r="U45" s="21">
        <v>0</v>
      </c>
      <c r="V45" s="21">
        <v>1</v>
      </c>
      <c r="W45" s="21">
        <v>0</v>
      </c>
      <c r="X45" s="156"/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0</v>
      </c>
      <c r="Z45" s="22"/>
      <c r="AA45" s="157">
        <f>Y45+Y45*VLOOKUP(I45,EXTRAS_ARRAY,2,FALSE)</f>
        <v>0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>Error: Effort value is not defined or is invalid.</v>
      </c>
    </row>
    <row r="46" spans="1:30" s="9" customFormat="1" ht="7.5" hidden="1" customHeight="1" outlineLevel="2" x14ac:dyDescent="0.2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6" outlineLevel="1" collapsed="1" x14ac:dyDescent="0.2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74" t="s">
        <v>554</v>
      </c>
      <c r="N47" s="274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0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2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48" hidden="1" outlineLevel="2" x14ac:dyDescent="0.2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569</v>
      </c>
      <c r="O49" s="20"/>
      <c r="P49" s="20"/>
      <c r="Q49" s="134"/>
      <c r="R49" s="127"/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0</v>
      </c>
      <c r="T49" s="158"/>
      <c r="U49" s="21">
        <v>0</v>
      </c>
      <c r="V49" s="21">
        <v>1</v>
      </c>
      <c r="W49" s="21">
        <v>0</v>
      </c>
      <c r="X49" s="156"/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0</v>
      </c>
      <c r="Z49" s="22"/>
      <c r="AA49" s="157">
        <f t="shared" ref="AA49:AA54" si="3">Y49+Y49*VLOOKUP(I49,EXTRAS_ARRAY,2,FALSE)</f>
        <v>0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>Error: Effort value is not defined or is invalid.</v>
      </c>
    </row>
    <row r="50" spans="1:30" ht="48" hidden="1" outlineLevel="2" x14ac:dyDescent="0.2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570</v>
      </c>
      <c r="O50" s="20"/>
      <c r="P50" s="20"/>
      <c r="Q50" s="134"/>
      <c r="R50" s="127"/>
      <c r="S50" s="157">
        <f t="shared" si="1"/>
        <v>0</v>
      </c>
      <c r="T50" s="158"/>
      <c r="U50" s="21">
        <v>0</v>
      </c>
      <c r="V50" s="21">
        <v>1</v>
      </c>
      <c r="W50" s="21">
        <v>0</v>
      </c>
      <c r="X50" s="156"/>
      <c r="Y50" s="157">
        <f t="shared" si="2"/>
        <v>0</v>
      </c>
      <c r="Z50" s="22"/>
      <c r="AA50" s="157">
        <f t="shared" si="3"/>
        <v>0</v>
      </c>
      <c r="AB50" s="20"/>
      <c r="AC50" s="34"/>
      <c r="AD50" s="23" t="str">
        <f t="shared" si="4"/>
        <v>Error: Effort value is not defined or is invalid.</v>
      </c>
    </row>
    <row r="51" spans="1:30" ht="48" hidden="1" outlineLevel="2" x14ac:dyDescent="0.2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571</v>
      </c>
      <c r="O51" s="20"/>
      <c r="P51" s="20"/>
      <c r="Q51" s="134"/>
      <c r="R51" s="127"/>
      <c r="S51" s="157">
        <f t="shared" si="1"/>
        <v>0</v>
      </c>
      <c r="T51" s="158"/>
      <c r="U51" s="21">
        <v>0</v>
      </c>
      <c r="V51" s="21">
        <v>1</v>
      </c>
      <c r="W51" s="21">
        <v>0</v>
      </c>
      <c r="X51" s="156"/>
      <c r="Y51" s="157">
        <f t="shared" si="2"/>
        <v>0</v>
      </c>
      <c r="Z51" s="22"/>
      <c r="AA51" s="157">
        <f t="shared" si="3"/>
        <v>0</v>
      </c>
      <c r="AB51" s="20"/>
      <c r="AC51" s="34"/>
      <c r="AD51" s="23" t="str">
        <f t="shared" si="4"/>
        <v>Error: Effort value is not defined or is invalid.</v>
      </c>
    </row>
    <row r="52" spans="1:30" ht="48" hidden="1" outlineLevel="2" x14ac:dyDescent="0.2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572</v>
      </c>
      <c r="O52" s="20"/>
      <c r="P52" s="20"/>
      <c r="Q52" s="134"/>
      <c r="R52" s="127"/>
      <c r="S52" s="157">
        <f t="shared" si="1"/>
        <v>0</v>
      </c>
      <c r="T52" s="158"/>
      <c r="U52" s="21">
        <v>0</v>
      </c>
      <c r="V52" s="21">
        <v>1</v>
      </c>
      <c r="W52" s="21">
        <v>0</v>
      </c>
      <c r="X52" s="156"/>
      <c r="Y52" s="157">
        <f t="shared" si="2"/>
        <v>0</v>
      </c>
      <c r="Z52" s="22"/>
      <c r="AA52" s="157">
        <f t="shared" si="3"/>
        <v>0</v>
      </c>
      <c r="AB52" s="20"/>
      <c r="AC52" s="34"/>
      <c r="AD52" s="23" t="str">
        <f t="shared" si="4"/>
        <v>Error: Effort value is not defined or is invalid.</v>
      </c>
    </row>
    <row r="53" spans="1:30" ht="48" hidden="1" outlineLevel="2" x14ac:dyDescent="0.2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573</v>
      </c>
      <c r="O53" s="20"/>
      <c r="P53" s="20"/>
      <c r="Q53" s="134"/>
      <c r="R53" s="127"/>
      <c r="S53" s="157">
        <f t="shared" si="1"/>
        <v>0</v>
      </c>
      <c r="T53" s="158"/>
      <c r="U53" s="21">
        <v>0</v>
      </c>
      <c r="V53" s="21">
        <v>1</v>
      </c>
      <c r="W53" s="21">
        <v>0</v>
      </c>
      <c r="X53" s="156"/>
      <c r="Y53" s="157">
        <f t="shared" si="2"/>
        <v>0</v>
      </c>
      <c r="Z53" s="22"/>
      <c r="AA53" s="157">
        <f t="shared" si="3"/>
        <v>0</v>
      </c>
      <c r="AB53" s="20"/>
      <c r="AC53" s="34"/>
      <c r="AD53" s="23" t="str">
        <f t="shared" si="4"/>
        <v>Error: Effort value is not defined or is invalid.</v>
      </c>
    </row>
    <row r="54" spans="1:30" ht="48" hidden="1" outlineLevel="2" x14ac:dyDescent="0.2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574</v>
      </c>
      <c r="O54" s="20"/>
      <c r="P54" s="20"/>
      <c r="Q54" s="134"/>
      <c r="R54" s="127"/>
      <c r="S54" s="157">
        <f t="shared" si="1"/>
        <v>0</v>
      </c>
      <c r="T54" s="158"/>
      <c r="U54" s="21">
        <v>0</v>
      </c>
      <c r="V54" s="21">
        <v>1</v>
      </c>
      <c r="W54" s="21">
        <v>0</v>
      </c>
      <c r="X54" s="156"/>
      <c r="Y54" s="157">
        <f t="shared" si="2"/>
        <v>0</v>
      </c>
      <c r="Z54" s="22"/>
      <c r="AA54" s="157">
        <f t="shared" si="3"/>
        <v>0</v>
      </c>
      <c r="AB54" s="20"/>
      <c r="AC54" s="34"/>
      <c r="AD54" s="23" t="str">
        <f t="shared" si="4"/>
        <v>Error: Effort value is not defined or is invalid.</v>
      </c>
    </row>
    <row r="55" spans="1:30" s="9" customFormat="1" ht="7.5" hidden="1" customHeight="1" outlineLevel="2" x14ac:dyDescent="0.2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6" outlineLevel="1" x14ac:dyDescent="0.2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74" t="s">
        <v>555</v>
      </c>
      <c r="N56" s="274"/>
      <c r="O56" s="5"/>
      <c r="P56" s="30"/>
      <c r="Q56" s="30"/>
      <c r="R56" s="30"/>
      <c r="S56" s="30"/>
      <c r="T56" s="155">
        <f>IF($S$6="Exclude", SUMIFS(S57:S63, J57:J63, "&lt;&gt;Yes", G57:G63, "&lt;&gt;Yes"), SUMIFS(S57:S63, J57:J63, "&lt;&gt;Yes"))</f>
        <v>12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customHeight="1" outlineLevel="2" x14ac:dyDescent="0.2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48" outlineLevel="2" x14ac:dyDescent="0.2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575</v>
      </c>
      <c r="O58" s="20" t="s">
        <v>125</v>
      </c>
      <c r="P58" s="20"/>
      <c r="Q58" s="134"/>
      <c r="R58" s="127"/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4</v>
      </c>
      <c r="T58" s="158"/>
      <c r="U58" s="21">
        <v>0</v>
      </c>
      <c r="V58" s="21">
        <v>1</v>
      </c>
      <c r="W58" s="21">
        <v>0</v>
      </c>
      <c r="X58" s="156">
        <v>4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4</v>
      </c>
      <c r="Z58" s="22"/>
      <c r="AA58" s="157">
        <f>Y58+Y58*VLOOKUP(I58,EXTRAS_ARRAY,2,FALSE)</f>
        <v>4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48" outlineLevel="2" x14ac:dyDescent="0.2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576</v>
      </c>
      <c r="O59" s="20" t="s">
        <v>125</v>
      </c>
      <c r="P59" s="20"/>
      <c r="Q59" s="134"/>
      <c r="R59" s="127"/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2</v>
      </c>
      <c r="T59" s="158"/>
      <c r="U59" s="21">
        <v>0</v>
      </c>
      <c r="V59" s="21">
        <v>1</v>
      </c>
      <c r="W59" s="21">
        <v>0</v>
      </c>
      <c r="X59" s="156">
        <v>2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2</v>
      </c>
      <c r="Z59" s="22"/>
      <c r="AA59" s="157">
        <f>Y59+Y59*VLOOKUP(I59,EXTRAS_ARRAY,2,FALSE)</f>
        <v>2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48" outlineLevel="2" x14ac:dyDescent="0.2">
      <c r="A60" s="86" t="s">
        <v>0</v>
      </c>
      <c r="B60" s="18"/>
      <c r="C60" s="78"/>
      <c r="D60" s="78"/>
      <c r="E60" s="78"/>
      <c r="F60" s="79"/>
      <c r="G60" s="19" t="s">
        <v>23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577</v>
      </c>
      <c r="O60" s="20" t="s">
        <v>579</v>
      </c>
      <c r="P60" s="20"/>
      <c r="Q60" s="134"/>
      <c r="R60" s="127"/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2</v>
      </c>
      <c r="T60" s="158"/>
      <c r="U60" s="21">
        <v>0</v>
      </c>
      <c r="V60" s="21">
        <v>1</v>
      </c>
      <c r="W60" s="21">
        <v>0</v>
      </c>
      <c r="X60" s="156">
        <v>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2</v>
      </c>
      <c r="Z60" s="22"/>
      <c r="AA60" s="157">
        <f>Y60+Y60*VLOOKUP(I60,EXTRAS_ARRAY,2,FALSE)</f>
        <v>2</v>
      </c>
      <c r="AB60" s="20"/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8" outlineLevel="2" x14ac:dyDescent="0.2">
      <c r="A61" s="86" t="s">
        <v>0</v>
      </c>
      <c r="B61" s="18"/>
      <c r="C61" s="78"/>
      <c r="D61" s="78"/>
      <c r="E61" s="78"/>
      <c r="F61" s="79"/>
      <c r="G61" s="19" t="s">
        <v>6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596</v>
      </c>
      <c r="O61" s="20" t="s">
        <v>598</v>
      </c>
      <c r="P61" s="251">
        <v>0.02</v>
      </c>
      <c r="Q61" s="134">
        <f>Total_Use_Cases * P61</f>
        <v>0</v>
      </c>
      <c r="R61" s="127"/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2</v>
      </c>
      <c r="T61" s="158"/>
      <c r="U61" s="21">
        <v>0</v>
      </c>
      <c r="V61" s="21">
        <v>1</v>
      </c>
      <c r="W61" s="21">
        <v>0</v>
      </c>
      <c r="X61" s="156">
        <v>2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2</v>
      </c>
      <c r="Z61" s="22"/>
      <c r="AA61" s="157">
        <f>Y61+Y61*VLOOKUP(I61,EXTRAS_ARRAY,2,FALSE)</f>
        <v>2</v>
      </c>
      <c r="AB61" s="20" t="s">
        <v>599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ht="48" outlineLevel="2" x14ac:dyDescent="0.2">
      <c r="A62" s="86" t="s">
        <v>0</v>
      </c>
      <c r="B62" s="18"/>
      <c r="C62" s="78"/>
      <c r="D62" s="78"/>
      <c r="E62" s="78"/>
      <c r="F62" s="79"/>
      <c r="G62" s="19" t="s">
        <v>23</v>
      </c>
      <c r="H62" s="19" t="s">
        <v>23</v>
      </c>
      <c r="I62" s="20" t="s">
        <v>23</v>
      </c>
      <c r="J62" s="19" t="s">
        <v>23</v>
      </c>
      <c r="K62" s="35"/>
      <c r="L62" s="19"/>
      <c r="M62" s="263">
        <f ca="1">IFERROR(OFFSET(M62,-1,,1,1)+0.1,OFFSET(M62,-1,-1,1,1)&amp;".1")</f>
        <v>7.4999999999999982</v>
      </c>
      <c r="N62" s="20" t="s">
        <v>578</v>
      </c>
      <c r="O62" s="20" t="s">
        <v>541</v>
      </c>
      <c r="P62" s="20"/>
      <c r="Q62" s="134"/>
      <c r="R62" s="127"/>
      <c r="S62" s="157">
        <f>CEILING((IF(J62="Yes", 0, IF(H62="-",AA62,AA62+AA62*VLOOKUP(H62,BUFFERS_BY_TYPE,2,FALSE)))) +
   (IF(J62="Yes", 0, IF(H62="-",AA62,AA62+AA62*VLOOKUP(H62,BUFFERS_BY_TYPE,2,FALSE))))*VLOOKUP($S$5, SALES_CALL_SCALE_ARRAY, 2,FALSE),0.25)</f>
        <v>2</v>
      </c>
      <c r="T62" s="158"/>
      <c r="U62" s="21">
        <v>0</v>
      </c>
      <c r="V62" s="21">
        <v>1</v>
      </c>
      <c r="W62" s="21">
        <v>0</v>
      </c>
      <c r="X62" s="156">
        <v>2</v>
      </c>
      <c r="Y62" s="157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2</v>
      </c>
      <c r="Z62" s="22"/>
      <c r="AA62" s="157">
        <f>Y62+Y62*VLOOKUP(I62,EXTRAS_ARRAY,2,FALSE)</f>
        <v>2</v>
      </c>
      <c r="AB62" s="20"/>
      <c r="AC62" s="34"/>
      <c r="AD62" s="23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spans="1:30" s="9" customFormat="1" ht="7.5" customHeight="1" outlineLevel="2" x14ac:dyDescent="0.2">
      <c r="A63" s="86" t="s">
        <v>132</v>
      </c>
      <c r="B63" s="15"/>
      <c r="C63" s="72"/>
      <c r="D63" s="72"/>
      <c r="E63" s="72"/>
      <c r="F63" s="72"/>
      <c r="M63" s="252"/>
      <c r="T63" s="15"/>
      <c r="X63" s="15"/>
      <c r="AB63" s="10"/>
      <c r="AC63" s="10"/>
      <c r="AD63" s="10"/>
    </row>
    <row r="64" spans="1:30" s="9" customFormat="1" ht="3" customHeight="1" outlineLevel="1" x14ac:dyDescent="0.2">
      <c r="A64" s="86" t="s">
        <v>102</v>
      </c>
      <c r="C64" s="72"/>
      <c r="D64" s="72"/>
      <c r="E64" s="72"/>
      <c r="F64" s="72"/>
      <c r="G64" s="25"/>
      <c r="H64" s="25"/>
      <c r="I64" s="25"/>
      <c r="J64" s="25"/>
      <c r="K64" s="25"/>
      <c r="L64" s="56"/>
      <c r="M64" s="264"/>
      <c r="N64" s="57"/>
      <c r="O64" s="57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7"/>
      <c r="AC64" s="57"/>
      <c r="AD64" s="10"/>
    </row>
    <row r="65" spans="1:30" s="14" customFormat="1" ht="19" x14ac:dyDescent="0.2">
      <c r="A65" s="86" t="s">
        <v>98</v>
      </c>
      <c r="B65" s="12"/>
      <c r="C65" s="73"/>
      <c r="D65" s="73"/>
      <c r="E65" s="73"/>
      <c r="F65" s="72"/>
      <c r="G65" s="52"/>
      <c r="H65" s="52"/>
      <c r="I65" s="52"/>
      <c r="J65" s="52"/>
      <c r="K65" s="52"/>
      <c r="L65" s="52" t="s">
        <v>68</v>
      </c>
      <c r="M65" s="261" t="s">
        <v>72</v>
      </c>
      <c r="N65" s="53"/>
      <c r="O65" s="54"/>
      <c r="P65" s="55"/>
      <c r="Q65" s="55"/>
      <c r="R65" s="55"/>
      <c r="S65" s="275">
        <f>CEILING(SUMIF(J66:J100, "&lt;&gt;Yes", T66:T100),1)</f>
        <v>6</v>
      </c>
      <c r="T65" s="275"/>
      <c r="U65" s="55"/>
      <c r="V65" s="55"/>
      <c r="W65" s="55"/>
      <c r="X65" s="55"/>
      <c r="Y65" s="55"/>
      <c r="Z65" s="55"/>
      <c r="AA65" s="55"/>
      <c r="AB65" s="55"/>
      <c r="AC65" s="55"/>
      <c r="AD65" s="13"/>
    </row>
    <row r="66" spans="1:30" s="9" customFormat="1" ht="3" hidden="1" customHeight="1" outlineLevel="1" x14ac:dyDescent="0.2">
      <c r="A66" s="86" t="s">
        <v>99</v>
      </c>
      <c r="B66" s="15"/>
      <c r="C66" s="72"/>
      <c r="D66" s="72"/>
      <c r="E66" s="72"/>
      <c r="F66" s="72"/>
      <c r="G66" s="25"/>
      <c r="H66" s="25"/>
      <c r="I66" s="25"/>
      <c r="J66" s="25"/>
      <c r="K66" s="25"/>
      <c r="L66" s="26">
        <v>0</v>
      </c>
      <c r="M66" s="262"/>
      <c r="N66" s="25"/>
      <c r="O66" s="25"/>
      <c r="P66" s="25"/>
      <c r="Q66" s="25"/>
      <c r="R66" s="25"/>
      <c r="S66" s="25"/>
      <c r="T66" s="27"/>
      <c r="U66" s="25"/>
      <c r="V66" s="25"/>
      <c r="W66" s="25"/>
      <c r="X66" s="27"/>
      <c r="Y66" s="25"/>
      <c r="Z66" s="25"/>
      <c r="AA66" s="25"/>
      <c r="AB66" s="28"/>
      <c r="AC66" s="28"/>
      <c r="AD66" s="10"/>
    </row>
    <row r="67" spans="1:30" s="14" customFormat="1" ht="16" outlineLevel="1" x14ac:dyDescent="0.2">
      <c r="A67" s="86" t="s">
        <v>100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7">
        <f ca="1">LOOKUP(1000,INDIRECT("L1:"&amp;CELL("address",INDIRECT("R[-1]C",FALSE))))+1</f>
        <v>1</v>
      </c>
      <c r="M67" s="274" t="s">
        <v>108</v>
      </c>
      <c r="N67" s="274"/>
      <c r="O67" s="5"/>
      <c r="P67" s="30"/>
      <c r="Q67" s="30"/>
      <c r="R67" s="30"/>
      <c r="S67" s="30"/>
      <c r="T67" s="155">
        <f>IF($S$6="Exclude", SUMIFS(S68:S72, J68:J72, "&lt;&gt;Yes", G68:G72, "&lt;&gt;Yes"), SUMIFS(S68:S72, J68:J72, "&lt;&gt;Yes"))</f>
        <v>6</v>
      </c>
      <c r="U67" s="30"/>
      <c r="V67" s="30"/>
      <c r="W67" s="30"/>
      <c r="X67" s="31"/>
      <c r="Y67" s="32"/>
      <c r="Z67" s="32"/>
      <c r="AA67" s="32"/>
      <c r="AB67" s="219" t="s">
        <v>443</v>
      </c>
      <c r="AC67" s="33"/>
      <c r="AD67" s="23" t="str">
        <f>IF(M67="", "Error: Task name cannot be empty.", "")</f>
        <v/>
      </c>
    </row>
    <row r="68" spans="1:30" s="12" customFormat="1" ht="1.5" customHeight="1" outlineLevel="2" x14ac:dyDescent="0.2">
      <c r="A68" s="86" t="s">
        <v>101</v>
      </c>
      <c r="B68" s="18"/>
      <c r="C68" s="77"/>
      <c r="D68" s="77"/>
      <c r="E68" s="77"/>
      <c r="F68" s="76"/>
      <c r="G68" s="29"/>
      <c r="H68" s="29"/>
      <c r="I68" s="29"/>
      <c r="J68" s="29"/>
      <c r="K68" s="29"/>
      <c r="L68" s="163">
        <f ca="1">L67</f>
        <v>1</v>
      </c>
      <c r="M68" s="164" t="s">
        <v>105</v>
      </c>
      <c r="N68" s="161"/>
      <c r="O68" s="162"/>
      <c r="P68" s="30"/>
      <c r="Q68" s="30"/>
      <c r="R68" s="30"/>
      <c r="S68" s="30"/>
      <c r="T68" s="155"/>
      <c r="U68" s="30"/>
      <c r="V68" s="30"/>
      <c r="W68" s="30"/>
      <c r="X68" s="31"/>
      <c r="Y68" s="32"/>
      <c r="Z68" s="32"/>
      <c r="AA68" s="32"/>
      <c r="AB68" s="33"/>
      <c r="AC68" s="33"/>
      <c r="AD68" s="23"/>
    </row>
    <row r="69" spans="1:30" ht="32" outlineLevel="2" x14ac:dyDescent="0.2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 t="str">
        <f ca="1">IFERROR(OFFSET(M69,-1,,1,1)+0.1,OFFSET(M69,-1,-1,1,1)&amp;".1")</f>
        <v>1.1</v>
      </c>
      <c r="N69" s="20" t="s">
        <v>600</v>
      </c>
      <c r="O69" s="20" t="s">
        <v>605</v>
      </c>
      <c r="P69" s="20"/>
      <c r="Q69" s="134"/>
      <c r="R69" s="127"/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</v>
      </c>
      <c r="T69" s="158"/>
      <c r="U69" s="21">
        <v>0</v>
      </c>
      <c r="V69" s="21">
        <v>1</v>
      </c>
      <c r="W69" s="21">
        <v>0</v>
      </c>
      <c r="X69" s="156">
        <v>2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</v>
      </c>
      <c r="Z69" s="22"/>
      <c r="AA69" s="157">
        <f>Y69+Y69*VLOOKUP(I69,EXTRAS_ARRAY,2,FALSE)</f>
        <v>2</v>
      </c>
      <c r="AB69" s="20" t="s">
        <v>445</v>
      </c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ht="32" outlineLevel="2" x14ac:dyDescent="0.2">
      <c r="A70" s="86" t="s">
        <v>0</v>
      </c>
      <c r="B70" s="18"/>
      <c r="C70" s="78"/>
      <c r="D70" s="78"/>
      <c r="E70" s="78"/>
      <c r="F70" s="79"/>
      <c r="G70" s="19" t="s">
        <v>23</v>
      </c>
      <c r="H70" s="19" t="s">
        <v>23</v>
      </c>
      <c r="I70" s="20" t="s">
        <v>23</v>
      </c>
      <c r="J70" s="19" t="s">
        <v>23</v>
      </c>
      <c r="K70" s="35"/>
      <c r="L70" s="19"/>
      <c r="M70" s="263">
        <f ca="1">IFERROR(OFFSET(M70,-1,,1,1)+0.1,OFFSET(M70,-1,-1,1,1)&amp;".1")</f>
        <v>1.2000000000000002</v>
      </c>
      <c r="N70" s="20" t="s">
        <v>601</v>
      </c>
      <c r="O70" s="20" t="s">
        <v>602</v>
      </c>
      <c r="P70" s="20"/>
      <c r="Q70" s="134"/>
      <c r="R70" s="127"/>
      <c r="S70" s="157">
        <f>CEILING((IF(J70="Yes", 0, IF(H70="-",AA70,AA70+AA70*VLOOKUP(H70,BUFFERS_BY_TYPE,2,FALSE)))) +
   (IF(J70="Yes", 0, IF(H70="-",AA70,AA70+AA70*VLOOKUP(H70,BUFFERS_BY_TYPE,2,FALSE))))*VLOOKUP($S$5, SALES_CALL_SCALE_ARRAY, 2,FALSE),0.25)</f>
        <v>2</v>
      </c>
      <c r="T70" s="158"/>
      <c r="U70" s="21">
        <v>0</v>
      </c>
      <c r="V70" s="21">
        <v>1</v>
      </c>
      <c r="W70" s="21">
        <v>0</v>
      </c>
      <c r="X70" s="156">
        <v>2</v>
      </c>
      <c r="Y70" s="157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>2</v>
      </c>
      <c r="Z70" s="22"/>
      <c r="AA70" s="157">
        <f>Y70+Y70*VLOOKUP(I70,EXTRAS_ARRAY,2,FALSE)</f>
        <v>2</v>
      </c>
      <c r="AB70" s="20" t="s">
        <v>445</v>
      </c>
      <c r="AC70" s="34"/>
      <c r="AD70" s="23" t="str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spans="1:30" ht="32" outlineLevel="2" x14ac:dyDescent="0.2">
      <c r="A71" s="86" t="s">
        <v>0</v>
      </c>
      <c r="B71" s="18"/>
      <c r="C71" s="78"/>
      <c r="D71" s="78"/>
      <c r="E71" s="78"/>
      <c r="F71" s="79"/>
      <c r="G71" s="19" t="s">
        <v>23</v>
      </c>
      <c r="H71" s="19" t="s">
        <v>23</v>
      </c>
      <c r="I71" s="20" t="s">
        <v>23</v>
      </c>
      <c r="J71" s="19" t="s">
        <v>23</v>
      </c>
      <c r="K71" s="35"/>
      <c r="L71" s="19"/>
      <c r="M71" s="263">
        <f ca="1">IFERROR(OFFSET(M71,-1,,1,1)+0.1,OFFSET(M71,-1,-1,1,1)&amp;".1")</f>
        <v>1.3000000000000003</v>
      </c>
      <c r="N71" s="20" t="s">
        <v>603</v>
      </c>
      <c r="O71" s="20" t="s">
        <v>602</v>
      </c>
      <c r="P71" s="20"/>
      <c r="Q71" s="134"/>
      <c r="R71" s="127"/>
      <c r="S71" s="157">
        <f>CEILING((IF(J71="Yes", 0, IF(H71="-",AA71,AA71+AA71*VLOOKUP(H71,BUFFERS_BY_TYPE,2,FALSE)))) +
   (IF(J71="Yes", 0, IF(H71="-",AA71,AA71+AA71*VLOOKUP(H71,BUFFERS_BY_TYPE,2,FALSE))))*VLOOKUP($S$5, SALES_CALL_SCALE_ARRAY, 2,FALSE),0.25)</f>
        <v>2</v>
      </c>
      <c r="T71" s="158"/>
      <c r="U71" s="21">
        <v>0</v>
      </c>
      <c r="V71" s="21">
        <v>1</v>
      </c>
      <c r="W71" s="21">
        <v>0</v>
      </c>
      <c r="X71" s="156">
        <v>2</v>
      </c>
      <c r="Y71" s="157">
        <f>CEILING((IF(P71=AS_DEV_EFFORT, DEV_EFFORT*Q71%,
                           IF(P71=AS_DURATION_EFFORT, (MANUAL_DURATION*5)*Q71%,
                                    (IF(Q71&lt;=1,X71,
                                          IF(SUM(U71:W71)=0,(Q71*X71),
                                               (((Q71*U71)*(X71+(X71*EXTRA_FOR_H)))+
                                               ((Q71*V71)*X71)+
                                               ((Q71*W71)*(X71-(X71*LESS_FOR_L)))
                                    )*IF(R71=0,1,R71))))))+Z71), 0.25)</f>
        <v>2</v>
      </c>
      <c r="Z71" s="22"/>
      <c r="AA71" s="157">
        <f>Y71+Y71*VLOOKUP(I71,EXTRAS_ARRAY,2,FALSE)</f>
        <v>2</v>
      </c>
      <c r="AB71" s="20" t="s">
        <v>445</v>
      </c>
      <c r="AC71" s="34"/>
      <c r="AD71" s="23" t="str">
        <f>IF(J71&lt;&gt;"Yes",
IF(S71&lt;=0,"Error: Effort value is not defined or is invalid.",
IF(AND(SUM(U71:W71)&gt;0,SUM(U71:W71)&lt;&gt;1),"Error: Complexity % distribution should sum to 100%.",
IF(AND(P71=AS_DEV_EFFORT,X71&lt;&gt;0),"Error: PDs should not be defined when defining as dev effort %.",
IF(AND(P71=AS_DURATION_EFFORT,X71&lt;&gt;0),"Error: PDs should not be defined when defining as duration effort %.","")))))</f>
        <v/>
      </c>
    </row>
    <row r="72" spans="1:30" s="9" customFormat="1" ht="7.5" customHeight="1" outlineLevel="2" x14ac:dyDescent="0.2">
      <c r="A72" s="86" t="s">
        <v>132</v>
      </c>
      <c r="B72" s="15"/>
      <c r="C72" s="72"/>
      <c r="D72" s="72"/>
      <c r="E72" s="72"/>
      <c r="F72" s="72"/>
      <c r="M72" s="252"/>
      <c r="T72" s="15"/>
      <c r="X72" s="15"/>
      <c r="AB72" s="10"/>
      <c r="AC72" s="10"/>
      <c r="AD72" s="10"/>
    </row>
    <row r="73" spans="1:30" s="14" customFormat="1" ht="16" hidden="1" outlineLevel="1" collapsed="1" x14ac:dyDescent="0.2">
      <c r="A73" s="86" t="s">
        <v>100</v>
      </c>
      <c r="B73" s="18"/>
      <c r="C73" s="77"/>
      <c r="D73" s="77"/>
      <c r="E73" s="77"/>
      <c r="F73" s="76"/>
      <c r="G73" s="29"/>
      <c r="H73" s="29"/>
      <c r="I73" s="29"/>
      <c r="J73" s="29"/>
      <c r="K73" s="29"/>
      <c r="L73" s="17">
        <f ca="1">LOOKUP(1000,INDIRECT("L1:"&amp;CELL("address",INDIRECT("R[-1]C",FALSE))))+1</f>
        <v>2</v>
      </c>
      <c r="M73" s="274" t="s">
        <v>458</v>
      </c>
      <c r="N73" s="274"/>
      <c r="O73" s="5"/>
      <c r="P73" s="30"/>
      <c r="Q73" s="30"/>
      <c r="R73" s="30"/>
      <c r="S73" s="30"/>
      <c r="T73" s="155">
        <f>IF($S$6="Exclude", SUMIFS(S74:S77, J74:J77, "&lt;&gt;Yes", G74:G77, "&lt;&gt;Yes"), SUMIFS(S74:S77, J74:J77, "&lt;&gt;Yes"))</f>
        <v>0</v>
      </c>
      <c r="U73" s="30"/>
      <c r="V73" s="30"/>
      <c r="W73" s="30"/>
      <c r="X73" s="31"/>
      <c r="Y73" s="32"/>
      <c r="Z73" s="32"/>
      <c r="AA73" s="32"/>
      <c r="AB73" s="219"/>
      <c r="AC73" s="33"/>
      <c r="AD73" s="23" t="str">
        <f>IF(M73="", "Error: Task name cannot be empty.", "")</f>
        <v/>
      </c>
    </row>
    <row r="74" spans="1:30" s="12" customFormat="1" ht="1.5" hidden="1" customHeight="1" outlineLevel="2" x14ac:dyDescent="0.2">
      <c r="A74" s="86" t="s">
        <v>101</v>
      </c>
      <c r="B74" s="18"/>
      <c r="C74" s="77"/>
      <c r="D74" s="77"/>
      <c r="E74" s="77"/>
      <c r="F74" s="76"/>
      <c r="G74" s="29"/>
      <c r="H74" s="29"/>
      <c r="I74" s="29"/>
      <c r="J74" s="29"/>
      <c r="K74" s="29"/>
      <c r="L74" s="163">
        <f ca="1">L73</f>
        <v>2</v>
      </c>
      <c r="M74" s="164" t="s">
        <v>105</v>
      </c>
      <c r="N74" s="161"/>
      <c r="O74" s="162"/>
      <c r="P74" s="30"/>
      <c r="Q74" s="30"/>
      <c r="R74" s="30"/>
      <c r="S74" s="30"/>
      <c r="T74" s="155"/>
      <c r="U74" s="30"/>
      <c r="V74" s="30"/>
      <c r="W74" s="30"/>
      <c r="X74" s="31"/>
      <c r="Y74" s="32"/>
      <c r="Z74" s="32"/>
      <c r="AA74" s="32"/>
      <c r="AB74" s="33"/>
      <c r="AC74" s="33"/>
      <c r="AD74" s="23"/>
    </row>
    <row r="75" spans="1:30" ht="48" hidden="1" outlineLevel="2" x14ac:dyDescent="0.2">
      <c r="A75" s="86" t="s">
        <v>0</v>
      </c>
      <c r="B75" s="18"/>
      <c r="C75" s="78"/>
      <c r="D75" s="78"/>
      <c r="E75" s="78"/>
      <c r="F75" s="79"/>
      <c r="G75" s="19" t="s">
        <v>23</v>
      </c>
      <c r="H75" s="19" t="s">
        <v>23</v>
      </c>
      <c r="I75" s="20" t="s">
        <v>23</v>
      </c>
      <c r="J75" s="19" t="s">
        <v>23</v>
      </c>
      <c r="K75" s="35"/>
      <c r="L75" s="19"/>
      <c r="M75" s="263" t="str">
        <f ca="1">IFERROR(OFFSET(M75,-1,,1,1)+0.1,OFFSET(M75,-1,-1,1,1)&amp;".1")</f>
        <v>2.1</v>
      </c>
      <c r="N75" s="20" t="s">
        <v>469</v>
      </c>
      <c r="O75" s="20"/>
      <c r="P75" s="20"/>
      <c r="Q75" s="134"/>
      <c r="R75" s="127"/>
      <c r="S75" s="157">
        <f>CEILING((IF(J75="Yes", 0, IF(H75="-",AA75,AA75+AA75*VLOOKUP(H75,BUFFERS_BY_TYPE,2,FALSE)))) +
   (IF(J75="Yes", 0, IF(H75="-",AA75,AA75+AA75*VLOOKUP(H75,BUFFERS_BY_TYPE,2,FALSE))))*VLOOKUP($S$5, SALES_CALL_SCALE_ARRAY, 2,FALSE),0.25)</f>
        <v>0</v>
      </c>
      <c r="T75" s="158"/>
      <c r="U75" s="21">
        <v>0</v>
      </c>
      <c r="V75" s="21">
        <v>1</v>
      </c>
      <c r="W75" s="21">
        <v>0</v>
      </c>
      <c r="X75" s="156"/>
      <c r="Y75" s="157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0</v>
      </c>
      <c r="Z75" s="22"/>
      <c r="AA75" s="157">
        <f>Y75+Y75*VLOOKUP(I75,EXTRAS_ARRAY,2,FALSE)</f>
        <v>0</v>
      </c>
      <c r="AB75" s="20"/>
      <c r="AC75" s="34"/>
      <c r="AD75" s="23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>Error: Effort value is not defined or is invalid.</v>
      </c>
    </row>
    <row r="76" spans="1:30" ht="48" hidden="1" outlineLevel="2" x14ac:dyDescent="0.2">
      <c r="A76" s="86" t="s">
        <v>0</v>
      </c>
      <c r="B76" s="18"/>
      <c r="C76" s="78"/>
      <c r="D76" s="78"/>
      <c r="E76" s="78"/>
      <c r="F76" s="79"/>
      <c r="G76" s="19" t="s">
        <v>23</v>
      </c>
      <c r="H76" s="19" t="s">
        <v>23</v>
      </c>
      <c r="I76" s="20" t="s">
        <v>23</v>
      </c>
      <c r="J76" s="19" t="s">
        <v>23</v>
      </c>
      <c r="K76" s="35"/>
      <c r="L76" s="19"/>
      <c r="M76" s="263">
        <f ca="1">IFERROR(OFFSET(M76,-1,,1,1)+0.1,OFFSET(M76,-1,-1,1,1)&amp;".1")</f>
        <v>2.2000000000000002</v>
      </c>
      <c r="N76" s="20" t="s">
        <v>470</v>
      </c>
      <c r="O76" s="20"/>
      <c r="P76" s="20" t="s">
        <v>472</v>
      </c>
      <c r="Q76" s="134"/>
      <c r="R76" s="127"/>
      <c r="S76" s="157">
        <f>CEILING((IF(J76="Yes", 0, IF(H76="-",AA76,AA76+AA76*VLOOKUP(H76,BUFFERS_BY_TYPE,2,FALSE)))) +
   (IF(J76="Yes", 0, IF(H76="-",AA76,AA76+AA76*VLOOKUP(H76,BUFFERS_BY_TYPE,2,FALSE))))*VLOOKUP($S$5, SALES_CALL_SCALE_ARRAY, 2,FALSE),0.25)</f>
        <v>0</v>
      </c>
      <c r="T76" s="158"/>
      <c r="U76" s="21">
        <v>0</v>
      </c>
      <c r="V76" s="21">
        <v>1</v>
      </c>
      <c r="W76" s="21">
        <v>0</v>
      </c>
      <c r="X76" s="156"/>
      <c r="Y76" s="157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0</v>
      </c>
      <c r="Z76" s="22"/>
      <c r="AA76" s="157">
        <f>Y76+Y76*VLOOKUP(I76,EXTRAS_ARRAY,2,FALSE)</f>
        <v>0</v>
      </c>
      <c r="AB76" s="20"/>
      <c r="AC76" s="34"/>
      <c r="AD76" s="23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>Error: Effort value is not defined or is invalid.</v>
      </c>
    </row>
    <row r="77" spans="1:30" s="9" customFormat="1" ht="7.5" hidden="1" customHeight="1" outlineLevel="2" x14ac:dyDescent="0.2">
      <c r="A77" s="86" t="s">
        <v>132</v>
      </c>
      <c r="B77" s="15"/>
      <c r="C77" s="72"/>
      <c r="D77" s="72"/>
      <c r="E77" s="72"/>
      <c r="F77" s="72"/>
      <c r="M77" s="252"/>
      <c r="T77" s="15"/>
      <c r="X77" s="15"/>
      <c r="AB77" s="10"/>
      <c r="AC77" s="10"/>
      <c r="AD77" s="10"/>
    </row>
    <row r="78" spans="1:30" s="14" customFormat="1" ht="16" hidden="1" outlineLevel="1" collapsed="1" x14ac:dyDescent="0.2">
      <c r="A78" s="86" t="s">
        <v>100</v>
      </c>
      <c r="B78" s="18"/>
      <c r="C78" s="77"/>
      <c r="D78" s="77"/>
      <c r="E78" s="77"/>
      <c r="F78" s="76"/>
      <c r="G78" s="29"/>
      <c r="H78" s="29"/>
      <c r="I78" s="29"/>
      <c r="J78" s="29"/>
      <c r="K78" s="29"/>
      <c r="L78" s="17">
        <f ca="1">LOOKUP(1000,INDIRECT("L1:"&amp;CELL("address",INDIRECT("R[-1]C",FALSE))))+1</f>
        <v>3</v>
      </c>
      <c r="M78" s="274" t="s">
        <v>466</v>
      </c>
      <c r="N78" s="274"/>
      <c r="O78" s="5"/>
      <c r="P78" s="30"/>
      <c r="Q78" s="30"/>
      <c r="R78" s="30"/>
      <c r="S78" s="30"/>
      <c r="T78" s="155">
        <f>IF($S$6="Exclude", SUMIFS(S79:S81, J79:J81, "&lt;&gt;Yes", G79:G81, "&lt;&gt;Yes"), SUMIFS(S79:S81, J79:J81, "&lt;&gt;Yes"))</f>
        <v>0</v>
      </c>
      <c r="U78" s="30"/>
      <c r="V78" s="30"/>
      <c r="W78" s="30"/>
      <c r="X78" s="31"/>
      <c r="Y78" s="32"/>
      <c r="Z78" s="32"/>
      <c r="AA78" s="32"/>
      <c r="AB78" s="219"/>
      <c r="AC78" s="33"/>
      <c r="AD78" s="23" t="str">
        <f>IF(M78="", "Error: Task name cannot be empty.", "")</f>
        <v/>
      </c>
    </row>
    <row r="79" spans="1:30" s="12" customFormat="1" ht="1.5" hidden="1" customHeight="1" outlineLevel="2" x14ac:dyDescent="0.2">
      <c r="A79" s="86" t="s">
        <v>101</v>
      </c>
      <c r="B79" s="18"/>
      <c r="C79" s="77"/>
      <c r="D79" s="77"/>
      <c r="E79" s="77"/>
      <c r="F79" s="76"/>
      <c r="G79" s="29"/>
      <c r="H79" s="29"/>
      <c r="I79" s="29"/>
      <c r="J79" s="29"/>
      <c r="K79" s="29"/>
      <c r="L79" s="163">
        <f ca="1">L78</f>
        <v>3</v>
      </c>
      <c r="M79" s="164" t="s">
        <v>105</v>
      </c>
      <c r="N79" s="161"/>
      <c r="O79" s="162"/>
      <c r="P79" s="30"/>
      <c r="Q79" s="30"/>
      <c r="R79" s="30"/>
      <c r="S79" s="30"/>
      <c r="T79" s="155"/>
      <c r="U79" s="30"/>
      <c r="V79" s="30"/>
      <c r="W79" s="30"/>
      <c r="X79" s="31"/>
      <c r="Y79" s="32"/>
      <c r="Z79" s="32"/>
      <c r="AA79" s="32"/>
      <c r="AB79" s="33"/>
      <c r="AC79" s="33"/>
      <c r="AD79" s="23"/>
    </row>
    <row r="80" spans="1:30" ht="48" hidden="1" outlineLevel="2" x14ac:dyDescent="0.2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 t="str">
        <f ca="1">IFERROR(OFFSET(M80,-1,,1,1)+0.1,OFFSET(M80,-1,-1,1,1)&amp;".1")</f>
        <v>3.1</v>
      </c>
      <c r="N80" s="20" t="s">
        <v>471</v>
      </c>
      <c r="O80" s="20"/>
      <c r="P80" s="20"/>
      <c r="Q80" s="134"/>
      <c r="R80" s="127"/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0</v>
      </c>
      <c r="T80" s="158"/>
      <c r="U80" s="21">
        <v>0</v>
      </c>
      <c r="V80" s="21">
        <v>1</v>
      </c>
      <c r="W80" s="21">
        <v>0</v>
      </c>
      <c r="X80" s="156"/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0</v>
      </c>
      <c r="Z80" s="22"/>
      <c r="AA80" s="157">
        <f>Y80+Y80*VLOOKUP(I80,EXTRAS_ARRAY,2,FALSE)</f>
        <v>0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>Error: Effort value is not defined or is invalid.</v>
      </c>
    </row>
    <row r="81" spans="1:30" s="9" customFormat="1" ht="7.5" hidden="1" customHeight="1" outlineLevel="2" x14ac:dyDescent="0.2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6" hidden="1" outlineLevel="1" collapsed="1" x14ac:dyDescent="0.2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274" t="s">
        <v>477</v>
      </c>
      <c r="N82" s="274"/>
      <c r="O82" s="5"/>
      <c r="P82" s="30"/>
      <c r="Q82" s="30"/>
      <c r="R82" s="30"/>
      <c r="S82" s="30"/>
      <c r="T82" s="155">
        <f>IF($S$6="Exclude", SUMIFS(S83:S88, J83:J88, "&lt;&gt;Yes", G83:G88, "&lt;&gt;Yes"), SUMIFS(S83:S88, J83:J88, "&lt;&gt;Yes"))</f>
        <v>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2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48" hidden="1" outlineLevel="2" x14ac:dyDescent="0.2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ca="1">IFERROR(OFFSET(M84,-1,,1,1)+0.1,OFFSET(M84,-1,-1,1,1)&amp;".1")</f>
        <v>4.1</v>
      </c>
      <c r="N84" s="20" t="s">
        <v>473</v>
      </c>
      <c r="O84" s="20"/>
      <c r="P84" s="20"/>
      <c r="Q84" s="134"/>
      <c r="R84" s="127"/>
      <c r="S84" s="157">
        <f>CEILING((IF(J84="Yes", 0, IF(H84="-",AA84,AA84+AA84*VLOOKUP(H84,BUFFERS_BY_TYPE,2,FALSE)))) +
   (IF(J84="Yes", 0, IF(H84="-",AA84,AA84+AA84*VLOOKUP(H84,BUFFERS_BY_TYPE,2,FALSE))))*VLOOKUP($S$5, SALES_CALL_SCALE_ARRAY, 2,FALSE),0.25)</f>
        <v>0</v>
      </c>
      <c r="T84" s="158"/>
      <c r="U84" s="21">
        <v>0</v>
      </c>
      <c r="V84" s="21">
        <v>1</v>
      </c>
      <c r="W84" s="21">
        <v>0</v>
      </c>
      <c r="X84" s="156"/>
      <c r="Y84" s="157">
        <f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0</v>
      </c>
      <c r="Z84" s="22"/>
      <c r="AA84" s="157">
        <f>Y84+Y84*VLOOKUP(I84,EXTRAS_ARRAY,2,FALSE)</f>
        <v>0</v>
      </c>
      <c r="AB84" s="20"/>
      <c r="AC84" s="34"/>
      <c r="AD84" s="23" t="str">
        <f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>Error: Effort value is not defined or is invalid.</v>
      </c>
    </row>
    <row r="85" spans="1:30" ht="48" hidden="1" outlineLevel="2" x14ac:dyDescent="0.2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ca="1">IFERROR(OFFSET(M85,-1,,1,1)+0.1,OFFSET(M85,-1,-1,1,1)&amp;".1")</f>
        <v>4.1999999999999993</v>
      </c>
      <c r="N85" s="20" t="s">
        <v>474</v>
      </c>
      <c r="O85" s="20"/>
      <c r="P85" s="20"/>
      <c r="Q85" s="134"/>
      <c r="R85" s="127"/>
      <c r="S85" s="157">
        <f>CEILING((IF(J85="Yes", 0, IF(H85="-",AA85,AA85+AA85*VLOOKUP(H85,BUFFERS_BY_TYPE,2,FALSE)))) +
   (IF(J85="Yes", 0, IF(H85="-",AA85,AA85+AA85*VLOOKUP(H85,BUFFERS_BY_TYPE,2,FALSE))))*VLOOKUP($S$5, SALES_CALL_SCALE_ARRAY, 2,FALSE),0.25)</f>
        <v>0</v>
      </c>
      <c r="T85" s="158"/>
      <c r="U85" s="21">
        <v>0</v>
      </c>
      <c r="V85" s="21">
        <v>1</v>
      </c>
      <c r="W85" s="21">
        <v>0</v>
      </c>
      <c r="X85" s="156"/>
      <c r="Y85" s="157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0</v>
      </c>
      <c r="Z85" s="22"/>
      <c r="AA85" s="157">
        <f>Y85+Y85*VLOOKUP(I85,EXTRAS_ARRAY,2,FALSE)</f>
        <v>0</v>
      </c>
      <c r="AB85" s="20"/>
      <c r="AC85" s="34"/>
      <c r="AD85" s="23" t="str">
        <f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>Error: Effort value is not defined or is invalid.</v>
      </c>
    </row>
    <row r="86" spans="1:30" ht="48" hidden="1" outlineLevel="2" x14ac:dyDescent="0.2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ca="1">IFERROR(OFFSET(M86,-1,,1,1)+0.1,OFFSET(M86,-1,-1,1,1)&amp;".1")</f>
        <v>4.2999999999999989</v>
      </c>
      <c r="N86" s="20" t="s">
        <v>475</v>
      </c>
      <c r="O86" s="20"/>
      <c r="P86" s="20" t="s">
        <v>472</v>
      </c>
      <c r="Q86" s="134">
        <v>1</v>
      </c>
      <c r="R86" s="127"/>
      <c r="S86" s="157">
        <f>CEILING((IF(J86="Yes", 0, IF(H86="-",AA86,AA86+AA86*VLOOKUP(H86,BUFFERS_BY_TYPE,2,FALSE)))) +
   (IF(J86="Yes", 0, IF(H86="-",AA86,AA86+AA86*VLOOKUP(H86,BUFFERS_BY_TYPE,2,FALSE))))*VLOOKUP($S$5, SALES_CALL_SCALE_ARRAY, 2,FALSE),0.25)</f>
        <v>0</v>
      </c>
      <c r="T86" s="158"/>
      <c r="U86" s="21">
        <v>0</v>
      </c>
      <c r="V86" s="21">
        <v>1</v>
      </c>
      <c r="W86" s="21">
        <v>0</v>
      </c>
      <c r="X86" s="156"/>
      <c r="Y86" s="157">
        <f>CEILING((IF(P86=AS_DEV_EFFORT, DEV_EFFORT*Q86%,
                           IF(P86=AS_DURATION_EFFORT, (MANUAL_DURATION*5)*Q86%,
                                    (IF(Q86&lt;=1,X86,
                                          IF(SUM(U86:W86)=0,(Q86*X86),
                                               (((Q86*U86)*(X86+(X86*EXTRA_FOR_H)))+
                                               ((Q86*V86)*X86)+
                                               ((Q86*W86)*(X86-(X86*LESS_FOR_L)))
                                    )*IF(R86=0,1,R86))))))+Z86), 0.25)</f>
        <v>0</v>
      </c>
      <c r="Z86" s="22"/>
      <c r="AA86" s="157">
        <f>Y86+Y86*VLOOKUP(I86,EXTRAS_ARRAY,2,FALSE)</f>
        <v>0</v>
      </c>
      <c r="AB86" s="20"/>
      <c r="AC86" s="34"/>
      <c r="AD86" s="23" t="str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>Error: Effort value is not defined or is invalid.</v>
      </c>
    </row>
    <row r="87" spans="1:30" ht="48" hidden="1" outlineLevel="2" x14ac:dyDescent="0.2">
      <c r="A87" s="86" t="s">
        <v>0</v>
      </c>
      <c r="B87" s="18"/>
      <c r="C87" s="78"/>
      <c r="D87" s="78"/>
      <c r="E87" s="78"/>
      <c r="F87" s="79"/>
      <c r="G87" s="19" t="s">
        <v>23</v>
      </c>
      <c r="H87" s="19" t="s">
        <v>23</v>
      </c>
      <c r="I87" s="20" t="s">
        <v>23</v>
      </c>
      <c r="J87" s="19" t="s">
        <v>23</v>
      </c>
      <c r="K87" s="35"/>
      <c r="L87" s="19"/>
      <c r="M87" s="263">
        <f ca="1">IFERROR(OFFSET(M87,-1,,1,1)+0.1,OFFSET(M87,-1,-1,1,1)&amp;".1")</f>
        <v>4.3999999999999986</v>
      </c>
      <c r="N87" s="20" t="s">
        <v>476</v>
      </c>
      <c r="O87" s="20"/>
      <c r="P87" s="20"/>
      <c r="Q87" s="134"/>
      <c r="R87" s="127"/>
      <c r="S87" s="157">
        <f>CEILING((IF(J87="Yes", 0, IF(H87="-",AA87,AA87+AA87*VLOOKUP(H87,BUFFERS_BY_TYPE,2,FALSE)))) +
   (IF(J87="Yes", 0, IF(H87="-",AA87,AA87+AA87*VLOOKUP(H87,BUFFERS_BY_TYPE,2,FALSE))))*VLOOKUP($S$5, SALES_CALL_SCALE_ARRAY, 2,FALSE),0.25)</f>
        <v>0</v>
      </c>
      <c r="T87" s="158"/>
      <c r="U87" s="21">
        <v>0</v>
      </c>
      <c r="V87" s="21">
        <v>1</v>
      </c>
      <c r="W87" s="21">
        <v>0</v>
      </c>
      <c r="X87" s="156"/>
      <c r="Y87" s="157">
        <f>CEILING((IF(P87=AS_DEV_EFFORT, DEV_EFFORT*Q87%,
                           IF(P87=AS_DURATION_EFFORT, (MANUAL_DURATION*5)*Q87%,
                                    (IF(Q87&lt;=1,X87,
                                          IF(SUM(U87:W87)=0,(Q87*X87),
                                               (((Q87*U87)*(X87+(X87*EXTRA_FOR_H)))+
                                               ((Q87*V87)*X87)+
                                               ((Q87*W87)*(X87-(X87*LESS_FOR_L)))
                                    )*IF(R87=0,1,R87))))))+Z87), 0.25)</f>
        <v>0</v>
      </c>
      <c r="Z87" s="22"/>
      <c r="AA87" s="157">
        <f>Y87+Y87*VLOOKUP(I87,EXTRAS_ARRAY,2,FALSE)</f>
        <v>0</v>
      </c>
      <c r="AB87" s="20"/>
      <c r="AC87" s="34"/>
      <c r="AD87" s="23" t="str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>Error: Effort value is not defined or is invalid.</v>
      </c>
    </row>
    <row r="88" spans="1:30" s="9" customFormat="1" ht="7.5" hidden="1" customHeight="1" outlineLevel="2" x14ac:dyDescent="0.2">
      <c r="A88" s="86" t="s">
        <v>132</v>
      </c>
      <c r="B88" s="15"/>
      <c r="C88" s="72"/>
      <c r="D88" s="72"/>
      <c r="E88" s="72"/>
      <c r="F88" s="72"/>
      <c r="M88" s="252"/>
      <c r="T88" s="15"/>
      <c r="X88" s="15"/>
      <c r="AB88" s="10"/>
      <c r="AC88" s="10"/>
      <c r="AD88" s="10"/>
    </row>
    <row r="89" spans="1:30" s="14" customFormat="1" ht="16" hidden="1" outlineLevel="1" collapsed="1" x14ac:dyDescent="0.2">
      <c r="A89" s="86" t="s">
        <v>100</v>
      </c>
      <c r="B89" s="18"/>
      <c r="C89" s="77"/>
      <c r="D89" s="77"/>
      <c r="E89" s="77"/>
      <c r="F89" s="76"/>
      <c r="G89" s="29"/>
      <c r="H89" s="29"/>
      <c r="I89" s="29"/>
      <c r="J89" s="29"/>
      <c r="K89" s="29"/>
      <c r="L89" s="17">
        <f ca="1">LOOKUP(1000,INDIRECT("L1:"&amp;CELL("address",INDIRECT("R[-1]C",FALSE))))+1</f>
        <v>5</v>
      </c>
      <c r="M89" s="274" t="s">
        <v>467</v>
      </c>
      <c r="N89" s="274"/>
      <c r="O89" s="5"/>
      <c r="P89" s="30"/>
      <c r="Q89" s="30"/>
      <c r="R89" s="30"/>
      <c r="S89" s="30"/>
      <c r="T89" s="155">
        <f>IF($S$6="Exclude", SUMIFS(S90:S99, J90:J99, "&lt;&gt;Yes", G90:G99, "&lt;&gt;Yes"), SUMIFS(S90:S99, J90:J99, "&lt;&gt;Yes"))</f>
        <v>0</v>
      </c>
      <c r="U89" s="30"/>
      <c r="V89" s="30"/>
      <c r="W89" s="30"/>
      <c r="X89" s="31"/>
      <c r="Y89" s="32"/>
      <c r="Z89" s="32"/>
      <c r="AA89" s="32"/>
      <c r="AB89" s="219"/>
      <c r="AC89" s="33"/>
      <c r="AD89" s="23" t="str">
        <f>IF(M89="", "Error: Task name cannot be empty.", "")</f>
        <v/>
      </c>
    </row>
    <row r="90" spans="1:30" s="12" customFormat="1" ht="1.5" hidden="1" customHeight="1" outlineLevel="2" x14ac:dyDescent="0.2">
      <c r="A90" s="86" t="s">
        <v>101</v>
      </c>
      <c r="B90" s="18"/>
      <c r="C90" s="77"/>
      <c r="D90" s="77"/>
      <c r="E90" s="77"/>
      <c r="F90" s="76"/>
      <c r="G90" s="29"/>
      <c r="H90" s="29"/>
      <c r="I90" s="29"/>
      <c r="J90" s="29"/>
      <c r="K90" s="29"/>
      <c r="L90" s="163">
        <f ca="1">L89</f>
        <v>5</v>
      </c>
      <c r="M90" s="164" t="s">
        <v>105</v>
      </c>
      <c r="N90" s="161"/>
      <c r="O90" s="162"/>
      <c r="P90" s="30"/>
      <c r="Q90" s="30"/>
      <c r="R90" s="30"/>
      <c r="S90" s="30"/>
      <c r="T90" s="155"/>
      <c r="U90" s="30"/>
      <c r="V90" s="30"/>
      <c r="W90" s="30"/>
      <c r="X90" s="31"/>
      <c r="Y90" s="32"/>
      <c r="Z90" s="32"/>
      <c r="AA90" s="32"/>
      <c r="AB90" s="33"/>
      <c r="AC90" s="33"/>
      <c r="AD90" s="23"/>
    </row>
    <row r="91" spans="1:30" ht="80" hidden="1" outlineLevel="2" x14ac:dyDescent="0.2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 t="str">
        <f t="shared" ref="M91:M98" ca="1" si="5">IFERROR(OFFSET(M91,-1,,1,1)+0.1,OFFSET(M91,-1,-1,1,1)&amp;".1")</f>
        <v>5.1</v>
      </c>
      <c r="N91" s="20" t="s">
        <v>478</v>
      </c>
      <c r="O91" s="20"/>
      <c r="P91" s="20"/>
      <c r="Q91" s="134"/>
      <c r="R91" s="127"/>
      <c r="S91" s="157">
        <f t="shared" ref="S91:S98" si="6">CEILING((IF(J91="Yes", 0, IF(H91="-",AA91,AA91+AA91*VLOOKUP(H91,BUFFERS_BY_TYPE,2,FALSE)))) +
   (IF(J91="Yes", 0, IF(H91="-",AA91,AA91+AA91*VLOOKUP(H91,BUFFERS_BY_TYPE,2,FALSE))))*VLOOKUP($S$5, SALES_CALL_SCALE_ARRAY, 2,FALSE),0.25)</f>
        <v>0</v>
      </c>
      <c r="T91" s="158"/>
      <c r="U91" s="21">
        <v>0</v>
      </c>
      <c r="V91" s="21">
        <v>1</v>
      </c>
      <c r="W91" s="21">
        <v>0</v>
      </c>
      <c r="X91" s="156"/>
      <c r="Y91" s="157">
        <f t="shared" ref="Y91:Y98" si="7">CEILING((IF(P91=AS_DEV_EFFORT, DEV_EFFORT*Q91%,
                           IF(P91=AS_DURATION_EFFORT, (MANUAL_DURATION*5)*Q91%,
                                    (IF(Q91&lt;=1,X91,
                                          IF(SUM(U91:W91)=0,(Q91*X91),
                                               (((Q91*U91)*(X91+(X91*EXTRA_FOR_H)))+
                                               ((Q91*V91)*X91)+
                                               ((Q91*W91)*(X91-(X91*LESS_FOR_L)))
                                    )*IF(R91=0,1,R91))))))+Z91), 0.25)</f>
        <v>0</v>
      </c>
      <c r="Z91" s="22"/>
      <c r="AA91" s="157">
        <f t="shared" ref="AA91:AA98" si="8">Y91+Y91*VLOOKUP(I91,EXTRAS_ARRAY,2,FALSE)</f>
        <v>0</v>
      </c>
      <c r="AB91" s="20"/>
      <c r="AC91" s="34"/>
      <c r="AD91" s="23" t="str">
        <f t="shared" ref="AD91:AD98" si="9">IF(J91&lt;&gt;"Yes",
IF(S91&lt;=0,"Error: Effort value is not defined or is invalid.",
IF(AND(SUM(U91:W91)&gt;0,SUM(U91:W91)&lt;&gt;1),"Error: Complexity % distribution should sum to 100%.",
IF(AND(P91=AS_DEV_EFFORT,X91&lt;&gt;0),"Error: PDs should not be defined when defining as dev effort %.",
IF(AND(P91=AS_DURATION_EFFORT,X91&lt;&gt;0),"Error: PDs should not be defined when defining as duration effort %.","")))))</f>
        <v>Error: Effort value is not defined or is invalid.</v>
      </c>
    </row>
    <row r="92" spans="1:30" ht="48" hidden="1" outlineLevel="2" x14ac:dyDescent="0.2">
      <c r="A92" s="86" t="s">
        <v>0</v>
      </c>
      <c r="B92" s="18"/>
      <c r="C92" s="78"/>
      <c r="D92" s="78"/>
      <c r="E92" s="78"/>
      <c r="F92" s="79"/>
      <c r="G92" s="19" t="s">
        <v>23</v>
      </c>
      <c r="H92" s="19" t="s">
        <v>23</v>
      </c>
      <c r="I92" s="20" t="s">
        <v>23</v>
      </c>
      <c r="J92" s="19" t="s">
        <v>23</v>
      </c>
      <c r="K92" s="35"/>
      <c r="L92" s="19"/>
      <c r="M92" s="263">
        <f t="shared" ca="1" si="5"/>
        <v>5.1999999999999993</v>
      </c>
      <c r="N92" s="20" t="s">
        <v>479</v>
      </c>
      <c r="O92" s="20"/>
      <c r="P92" s="20"/>
      <c r="Q92" s="134"/>
      <c r="R92" s="127"/>
      <c r="S92" s="157">
        <f t="shared" si="6"/>
        <v>0</v>
      </c>
      <c r="T92" s="158"/>
      <c r="U92" s="21">
        <v>0</v>
      </c>
      <c r="V92" s="21">
        <v>1</v>
      </c>
      <c r="W92" s="21">
        <v>0</v>
      </c>
      <c r="X92" s="156"/>
      <c r="Y92" s="157">
        <f t="shared" si="7"/>
        <v>0</v>
      </c>
      <c r="Z92" s="22"/>
      <c r="AA92" s="157">
        <f t="shared" si="8"/>
        <v>0</v>
      </c>
      <c r="AB92" s="20"/>
      <c r="AC92" s="34"/>
      <c r="AD92" s="23" t="str">
        <f t="shared" si="9"/>
        <v>Error: Effort value is not defined or is invalid.</v>
      </c>
    </row>
    <row r="93" spans="1:30" ht="48" hidden="1" outlineLevel="2" x14ac:dyDescent="0.2">
      <c r="A93" s="86" t="s">
        <v>0</v>
      </c>
      <c r="B93" s="18"/>
      <c r="C93" s="78"/>
      <c r="D93" s="78"/>
      <c r="E93" s="78"/>
      <c r="F93" s="79"/>
      <c r="G93" s="19" t="s">
        <v>23</v>
      </c>
      <c r="H93" s="19" t="s">
        <v>23</v>
      </c>
      <c r="I93" s="20" t="s">
        <v>23</v>
      </c>
      <c r="J93" s="19" t="s">
        <v>23</v>
      </c>
      <c r="K93" s="35"/>
      <c r="L93" s="19"/>
      <c r="M93" s="263">
        <f t="shared" ca="1" si="5"/>
        <v>5.2999999999999989</v>
      </c>
      <c r="N93" s="20" t="s">
        <v>480</v>
      </c>
      <c r="O93" s="20"/>
      <c r="P93" s="20"/>
      <c r="Q93" s="134"/>
      <c r="R93" s="127"/>
      <c r="S93" s="157">
        <f t="shared" si="6"/>
        <v>0</v>
      </c>
      <c r="T93" s="158"/>
      <c r="U93" s="21">
        <v>0</v>
      </c>
      <c r="V93" s="21">
        <v>1</v>
      </c>
      <c r="W93" s="21">
        <v>0</v>
      </c>
      <c r="X93" s="156"/>
      <c r="Y93" s="157">
        <f t="shared" si="7"/>
        <v>0</v>
      </c>
      <c r="Z93" s="22"/>
      <c r="AA93" s="157">
        <f t="shared" si="8"/>
        <v>0</v>
      </c>
      <c r="AB93" s="20"/>
      <c r="AC93" s="34"/>
      <c r="AD93" s="23" t="str">
        <f t="shared" si="9"/>
        <v>Error: Effort value is not defined or is invalid.</v>
      </c>
    </row>
    <row r="94" spans="1:30" ht="48" hidden="1" outlineLevel="2" x14ac:dyDescent="0.2">
      <c r="A94" s="86" t="s">
        <v>0</v>
      </c>
      <c r="B94" s="18"/>
      <c r="C94" s="78"/>
      <c r="D94" s="78"/>
      <c r="E94" s="78"/>
      <c r="F94" s="79"/>
      <c r="G94" s="19" t="s">
        <v>23</v>
      </c>
      <c r="H94" s="19" t="s">
        <v>23</v>
      </c>
      <c r="I94" s="20" t="s">
        <v>23</v>
      </c>
      <c r="J94" s="19" t="s">
        <v>23</v>
      </c>
      <c r="K94" s="35"/>
      <c r="L94" s="19"/>
      <c r="M94" s="263">
        <f t="shared" ca="1" si="5"/>
        <v>5.3999999999999986</v>
      </c>
      <c r="N94" s="20" t="s">
        <v>481</v>
      </c>
      <c r="O94" s="20"/>
      <c r="P94" s="20"/>
      <c r="Q94" s="134"/>
      <c r="R94" s="127"/>
      <c r="S94" s="157">
        <f t="shared" si="6"/>
        <v>0</v>
      </c>
      <c r="T94" s="158"/>
      <c r="U94" s="21">
        <v>0</v>
      </c>
      <c r="V94" s="21">
        <v>1</v>
      </c>
      <c r="W94" s="21">
        <v>0</v>
      </c>
      <c r="X94" s="156"/>
      <c r="Y94" s="157">
        <f t="shared" si="7"/>
        <v>0</v>
      </c>
      <c r="Z94" s="22"/>
      <c r="AA94" s="157">
        <f t="shared" si="8"/>
        <v>0</v>
      </c>
      <c r="AB94" s="20"/>
      <c r="AC94" s="34"/>
      <c r="AD94" s="23" t="str">
        <f t="shared" si="9"/>
        <v>Error: Effort value is not defined or is invalid.</v>
      </c>
    </row>
    <row r="95" spans="1:30" ht="48" hidden="1" outlineLevel="2" x14ac:dyDescent="0.2">
      <c r="A95" s="86" t="s">
        <v>0</v>
      </c>
      <c r="B95" s="18"/>
      <c r="C95" s="78"/>
      <c r="D95" s="78"/>
      <c r="E95" s="78"/>
      <c r="F95" s="79"/>
      <c r="G95" s="19" t="s">
        <v>23</v>
      </c>
      <c r="H95" s="19" t="s">
        <v>23</v>
      </c>
      <c r="I95" s="20" t="s">
        <v>23</v>
      </c>
      <c r="J95" s="19" t="s">
        <v>23</v>
      </c>
      <c r="K95" s="35"/>
      <c r="L95" s="19"/>
      <c r="M95" s="263">
        <f t="shared" ca="1" si="5"/>
        <v>5.4999999999999982</v>
      </c>
      <c r="N95" s="20" t="s">
        <v>482</v>
      </c>
      <c r="O95" s="20"/>
      <c r="P95" s="20"/>
      <c r="Q95" s="134"/>
      <c r="R95" s="127"/>
      <c r="S95" s="157">
        <f t="shared" si="6"/>
        <v>0</v>
      </c>
      <c r="T95" s="158"/>
      <c r="U95" s="21">
        <v>0</v>
      </c>
      <c r="V95" s="21">
        <v>1</v>
      </c>
      <c r="W95" s="21">
        <v>0</v>
      </c>
      <c r="X95" s="156"/>
      <c r="Y95" s="157">
        <f t="shared" si="7"/>
        <v>0</v>
      </c>
      <c r="Z95" s="22"/>
      <c r="AA95" s="157">
        <f t="shared" si="8"/>
        <v>0</v>
      </c>
      <c r="AB95" s="20"/>
      <c r="AC95" s="34"/>
      <c r="AD95" s="23" t="str">
        <f t="shared" si="9"/>
        <v>Error: Effort value is not defined or is invalid.</v>
      </c>
    </row>
    <row r="96" spans="1:30" ht="48" hidden="1" outlineLevel="2" x14ac:dyDescent="0.2">
      <c r="A96" s="86" t="s">
        <v>0</v>
      </c>
      <c r="B96" s="18"/>
      <c r="C96" s="78"/>
      <c r="D96" s="78"/>
      <c r="E96" s="78"/>
      <c r="F96" s="79"/>
      <c r="G96" s="19" t="s">
        <v>23</v>
      </c>
      <c r="H96" s="19" t="s">
        <v>23</v>
      </c>
      <c r="I96" s="20" t="s">
        <v>23</v>
      </c>
      <c r="J96" s="19" t="s">
        <v>23</v>
      </c>
      <c r="K96" s="35"/>
      <c r="L96" s="19"/>
      <c r="M96" s="263">
        <f t="shared" ca="1" si="5"/>
        <v>5.5999999999999979</v>
      </c>
      <c r="N96" s="20" t="s">
        <v>483</v>
      </c>
      <c r="O96" s="20"/>
      <c r="P96" s="20"/>
      <c r="Q96" s="134"/>
      <c r="R96" s="127"/>
      <c r="S96" s="157">
        <f t="shared" si="6"/>
        <v>0</v>
      </c>
      <c r="T96" s="158"/>
      <c r="U96" s="21">
        <v>0</v>
      </c>
      <c r="V96" s="21">
        <v>1</v>
      </c>
      <c r="W96" s="21">
        <v>0</v>
      </c>
      <c r="X96" s="156"/>
      <c r="Y96" s="157">
        <f t="shared" si="7"/>
        <v>0</v>
      </c>
      <c r="Z96" s="22"/>
      <c r="AA96" s="157">
        <f t="shared" si="8"/>
        <v>0</v>
      </c>
      <c r="AB96" s="20"/>
      <c r="AC96" s="34"/>
      <c r="AD96" s="23" t="str">
        <f t="shared" si="9"/>
        <v>Error: Effort value is not defined or is invalid.</v>
      </c>
    </row>
    <row r="97" spans="1:30" ht="48" hidden="1" outlineLevel="2" x14ac:dyDescent="0.2">
      <c r="A97" s="86" t="s">
        <v>0</v>
      </c>
      <c r="B97" s="18"/>
      <c r="C97" s="78"/>
      <c r="D97" s="78"/>
      <c r="E97" s="78"/>
      <c r="F97" s="79"/>
      <c r="G97" s="19" t="s">
        <v>23</v>
      </c>
      <c r="H97" s="19" t="s">
        <v>23</v>
      </c>
      <c r="I97" s="20" t="s">
        <v>23</v>
      </c>
      <c r="J97" s="19" t="s">
        <v>23</v>
      </c>
      <c r="K97" s="35"/>
      <c r="L97" s="19"/>
      <c r="M97" s="263">
        <f t="shared" ca="1" si="5"/>
        <v>5.6999999999999975</v>
      </c>
      <c r="N97" s="20" t="s">
        <v>484</v>
      </c>
      <c r="O97" s="20"/>
      <c r="P97" s="20"/>
      <c r="Q97" s="134"/>
      <c r="R97" s="127"/>
      <c r="S97" s="157">
        <f t="shared" si="6"/>
        <v>0</v>
      </c>
      <c r="T97" s="158"/>
      <c r="U97" s="21">
        <v>0</v>
      </c>
      <c r="V97" s="21">
        <v>1</v>
      </c>
      <c r="W97" s="21">
        <v>0</v>
      </c>
      <c r="X97" s="156"/>
      <c r="Y97" s="157">
        <f t="shared" si="7"/>
        <v>0</v>
      </c>
      <c r="Z97" s="22"/>
      <c r="AA97" s="157">
        <f t="shared" si="8"/>
        <v>0</v>
      </c>
      <c r="AB97" s="20"/>
      <c r="AC97" s="34"/>
      <c r="AD97" s="23" t="str">
        <f t="shared" si="9"/>
        <v>Error: Effort value is not defined or is invalid.</v>
      </c>
    </row>
    <row r="98" spans="1:30" ht="48" hidden="1" outlineLevel="2" x14ac:dyDescent="0.2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>
        <f t="shared" ca="1" si="5"/>
        <v>5.7999999999999972</v>
      </c>
      <c r="N98" s="20" t="s">
        <v>485</v>
      </c>
      <c r="O98" s="20"/>
      <c r="P98" s="20"/>
      <c r="Q98" s="134"/>
      <c r="R98" s="127"/>
      <c r="S98" s="157">
        <f t="shared" si="6"/>
        <v>0</v>
      </c>
      <c r="T98" s="158"/>
      <c r="U98" s="21">
        <v>0</v>
      </c>
      <c r="V98" s="21">
        <v>1</v>
      </c>
      <c r="W98" s="21">
        <v>0</v>
      </c>
      <c r="X98" s="156"/>
      <c r="Y98" s="157">
        <f t="shared" si="7"/>
        <v>0</v>
      </c>
      <c r="Z98" s="22"/>
      <c r="AA98" s="157">
        <f t="shared" si="8"/>
        <v>0</v>
      </c>
      <c r="AB98" s="20"/>
      <c r="AC98" s="34"/>
      <c r="AD98" s="23" t="str">
        <f t="shared" si="9"/>
        <v>Error: Effort value is not defined or is invalid.</v>
      </c>
    </row>
    <row r="99" spans="1:30" s="9" customFormat="1" ht="7.5" hidden="1" customHeight="1" outlineLevel="2" x14ac:dyDescent="0.2">
      <c r="A99" s="86" t="s">
        <v>132</v>
      </c>
      <c r="B99" s="15"/>
      <c r="C99" s="72"/>
      <c r="D99" s="72"/>
      <c r="E99" s="72"/>
      <c r="F99" s="72"/>
      <c r="M99" s="252"/>
      <c r="T99" s="15"/>
      <c r="X99" s="15"/>
      <c r="AB99" s="10"/>
      <c r="AC99" s="10"/>
      <c r="AD99" s="10"/>
    </row>
    <row r="100" spans="1:30" s="9" customFormat="1" ht="3" hidden="1" customHeight="1" outlineLevel="1" x14ac:dyDescent="0.2">
      <c r="A100" s="86" t="s">
        <v>102</v>
      </c>
      <c r="C100" s="72"/>
      <c r="D100" s="72"/>
      <c r="E100" s="72"/>
      <c r="F100" s="72"/>
      <c r="G100" s="25"/>
      <c r="H100" s="25"/>
      <c r="I100" s="25"/>
      <c r="J100" s="25"/>
      <c r="K100" s="25"/>
      <c r="L100" s="56"/>
      <c r="M100" s="264"/>
      <c r="N100" s="57"/>
      <c r="O100" s="57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7"/>
      <c r="AC100" s="57"/>
      <c r="AD100" s="10"/>
    </row>
    <row r="101" spans="1:30" s="14" customFormat="1" ht="19" x14ac:dyDescent="0.2">
      <c r="A101" s="86" t="s">
        <v>98</v>
      </c>
      <c r="B101" s="12"/>
      <c r="C101" s="73"/>
      <c r="D101" s="73"/>
      <c r="E101" s="73"/>
      <c r="F101" s="72"/>
      <c r="G101" s="52"/>
      <c r="H101" s="52"/>
      <c r="I101" s="52"/>
      <c r="J101" s="52"/>
      <c r="K101" s="52"/>
      <c r="L101" s="52" t="s">
        <v>69</v>
      </c>
      <c r="M101" s="261" t="s">
        <v>73</v>
      </c>
      <c r="N101" s="53"/>
      <c r="O101" s="54"/>
      <c r="P101" s="55"/>
      <c r="Q101" s="55"/>
      <c r="R101" s="55"/>
      <c r="S101" s="275">
        <f>CEILING(SUMIF(J102:J151, "&lt;&gt;Yes", T102:T151),1)</f>
        <v>44</v>
      </c>
      <c r="T101" s="275"/>
      <c r="U101" s="55"/>
      <c r="V101" s="55"/>
      <c r="W101" s="55"/>
      <c r="X101" s="168"/>
      <c r="Y101" s="168"/>
      <c r="Z101" s="55"/>
      <c r="AA101" s="168"/>
      <c r="AB101" s="55"/>
      <c r="AC101" s="55"/>
      <c r="AD101" s="13"/>
    </row>
    <row r="102" spans="1:30" s="9" customFormat="1" ht="3" hidden="1" customHeight="1" outlineLevel="1" x14ac:dyDescent="0.2">
      <c r="A102" s="86" t="s">
        <v>99</v>
      </c>
      <c r="B102" s="15"/>
      <c r="C102" s="72"/>
      <c r="D102" s="72"/>
      <c r="E102" s="72"/>
      <c r="F102" s="72"/>
      <c r="G102" s="25"/>
      <c r="H102" s="25"/>
      <c r="I102" s="25"/>
      <c r="J102" s="25"/>
      <c r="K102" s="25"/>
      <c r="L102" s="26">
        <v>0</v>
      </c>
      <c r="M102" s="262"/>
      <c r="N102" s="25"/>
      <c r="O102" s="25"/>
      <c r="P102" s="25"/>
      <c r="Q102" s="25"/>
      <c r="R102" s="25"/>
      <c r="S102" s="25"/>
      <c r="T102" s="27"/>
      <c r="U102" s="25"/>
      <c r="V102" s="25"/>
      <c r="W102" s="25"/>
      <c r="X102" s="27"/>
      <c r="Y102" s="25"/>
      <c r="Z102" s="25"/>
      <c r="AA102" s="25"/>
      <c r="AB102" s="28"/>
      <c r="AC102" s="28"/>
      <c r="AD102" s="10"/>
    </row>
    <row r="103" spans="1:30" s="14" customFormat="1" ht="16" outlineLevel="1" x14ac:dyDescent="0.2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1</v>
      </c>
      <c r="M103" s="274" t="s">
        <v>108</v>
      </c>
      <c r="N103" s="274"/>
      <c r="O103" s="5"/>
      <c r="P103" s="30"/>
      <c r="Q103" s="30"/>
      <c r="R103" s="30"/>
      <c r="S103" s="30"/>
      <c r="T103" s="155">
        <f>IF($S$6="Exclude", SUMIFS(S104:S113, J104:J113, "&lt;&gt;Yes", G104:G113, "&lt;&gt;Yes"), SUMIFS(S104:S113, J104:J113, "&lt;&gt;Yes"))</f>
        <v>44</v>
      </c>
      <c r="U103" s="30"/>
      <c r="V103" s="30"/>
      <c r="W103" s="30"/>
      <c r="X103" s="31"/>
      <c r="Y103" s="32"/>
      <c r="Z103" s="32"/>
      <c r="AA103" s="32"/>
      <c r="AB103" s="219" t="s">
        <v>443</v>
      </c>
      <c r="AC103" s="33"/>
      <c r="AD103" s="23" t="str">
        <f>IF(M103="", "Error: Task name cannot be empty.", "")</f>
        <v/>
      </c>
    </row>
    <row r="104" spans="1:30" s="12" customFormat="1" ht="1.5" customHeight="1" outlineLevel="2" x14ac:dyDescent="0.2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1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6" outlineLevel="2" x14ac:dyDescent="0.2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ca="1">IFERROR(OFFSET(M105,-1,,1,1)+0.1,OFFSET(M105,-1,-1,1,1)&amp;".1")</f>
        <v>1.1</v>
      </c>
      <c r="N105" s="20" t="s">
        <v>604</v>
      </c>
      <c r="O105" s="20" t="s">
        <v>602</v>
      </c>
      <c r="P105" s="20"/>
      <c r="Q105" s="134"/>
      <c r="R105" s="127"/>
      <c r="S105" s="157">
        <f>CEILING((IF(J105="Yes", 0, IF(H105="-",AA105,AA105+AA105*VLOOKUP(H105,BUFFERS_BY_TYPE,2,FALSE)))) +
   (IF(J105="Yes", 0, IF(H105="-",AA105,AA105+AA105*VLOOKUP(H105,BUFFERS_BY_TYPE,2,FALSE))))*VLOOKUP($S$5, SALES_CALL_SCALE_ARRAY, 2,FALSE),0.25)</f>
        <v>5</v>
      </c>
      <c r="T105" s="158"/>
      <c r="U105" s="21">
        <v>0</v>
      </c>
      <c r="V105" s="21">
        <v>1</v>
      </c>
      <c r="W105" s="21">
        <v>0</v>
      </c>
      <c r="X105" s="156">
        <v>5</v>
      </c>
      <c r="Y105" s="157">
        <f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5</v>
      </c>
      <c r="Z105" s="22"/>
      <c r="AA105" s="157">
        <f>Y105+Y105*VLOOKUP(I105,EXTRAS_ARRAY,2,FALSE)</f>
        <v>5</v>
      </c>
      <c r="AB105" s="20" t="s">
        <v>620</v>
      </c>
      <c r="AC105" s="34"/>
      <c r="AD105" s="23" t="str">
        <f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6" outlineLevel="2" x14ac:dyDescent="0.2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ca="1">IFERROR(OFFSET(M106,-1,,1,1)+0.1,OFFSET(M106,-1,-1,1,1)&amp;".1")</f>
        <v>1.2000000000000002</v>
      </c>
      <c r="N106" s="20" t="s">
        <v>606</v>
      </c>
      <c r="O106" s="20" t="s">
        <v>602</v>
      </c>
      <c r="P106" s="20"/>
      <c r="Q106" s="134"/>
      <c r="R106" s="127"/>
      <c r="S106" s="157">
        <f>CEILING((IF(J106="Yes", 0, IF(H106="-",AA106,AA106+AA106*VLOOKUP(H106,BUFFERS_BY_TYPE,2,FALSE)))) +
   (IF(J106="Yes", 0, IF(H106="-",AA106,AA106+AA106*VLOOKUP(H106,BUFFERS_BY_TYPE,2,FALSE))))*VLOOKUP($S$5, SALES_CALL_SCALE_ARRAY, 2,FALSE),0.25)</f>
        <v>7</v>
      </c>
      <c r="T106" s="158"/>
      <c r="U106" s="21">
        <v>0</v>
      </c>
      <c r="V106" s="21">
        <v>1</v>
      </c>
      <c r="W106" s="21">
        <v>0</v>
      </c>
      <c r="X106" s="156">
        <v>7</v>
      </c>
      <c r="Y106" s="157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7</v>
      </c>
      <c r="Z106" s="22"/>
      <c r="AA106" s="157">
        <f>Y106+Y106*VLOOKUP(I106,EXTRAS_ARRAY,2,FALSE)</f>
        <v>7</v>
      </c>
      <c r="AB106" s="20" t="s">
        <v>620</v>
      </c>
      <c r="AC106" s="34"/>
      <c r="AD106" s="23" t="str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16" outlineLevel="2" x14ac:dyDescent="0.2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ca="1">IFERROR(OFFSET(M107,-1,,1,1)+0.1,OFFSET(M107,-1,-1,1,1)&amp;".1")</f>
        <v>1.3000000000000003</v>
      </c>
      <c r="N107" s="20" t="s">
        <v>607</v>
      </c>
      <c r="O107" s="20" t="s">
        <v>602</v>
      </c>
      <c r="P107" s="20"/>
      <c r="Q107" s="134"/>
      <c r="R107" s="127"/>
      <c r="S107" s="157">
        <f>CEILING((IF(J107="Yes", 0, IF(H107="-",AA107,AA107+AA107*VLOOKUP(H107,BUFFERS_BY_TYPE,2,FALSE)))) +
   (IF(J107="Yes", 0, IF(H107="-",AA107,AA107+AA107*VLOOKUP(H107,BUFFERS_BY_TYPE,2,FALSE))))*VLOOKUP($S$5, SALES_CALL_SCALE_ARRAY, 2,FALSE),0.25)</f>
        <v>5</v>
      </c>
      <c r="T107" s="158"/>
      <c r="U107" s="21">
        <v>0</v>
      </c>
      <c r="V107" s="21">
        <v>1</v>
      </c>
      <c r="W107" s="21">
        <v>0</v>
      </c>
      <c r="X107" s="156">
        <v>5</v>
      </c>
      <c r="Y107" s="157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5</v>
      </c>
      <c r="Z107" s="22"/>
      <c r="AA107" s="157">
        <f>Y107+Y107*VLOOKUP(I107,EXTRAS_ARRAY,2,FALSE)</f>
        <v>5</v>
      </c>
      <c r="AB107" s="20" t="s">
        <v>620</v>
      </c>
      <c r="AC107" s="34"/>
      <c r="AD107" s="23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spans="1:30" ht="16" outlineLevel="2" x14ac:dyDescent="0.2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ca="1">IFERROR(OFFSET(M108,-1,,1,1)+0.1,OFFSET(M108,-1,-1,1,1)&amp;".1")</f>
        <v>1.4000000000000004</v>
      </c>
      <c r="N108" s="20" t="s">
        <v>608</v>
      </c>
      <c r="O108" s="20" t="s">
        <v>602</v>
      </c>
      <c r="P108" s="20"/>
      <c r="Q108" s="134"/>
      <c r="R108" s="127"/>
      <c r="S108" s="157">
        <f>CEILING((IF(J108="Yes", 0, IF(H108="-",AA108,AA108+AA108*VLOOKUP(H108,BUFFERS_BY_TYPE,2,FALSE)))) +
   (IF(J108="Yes", 0, IF(H108="-",AA108,AA108+AA108*VLOOKUP(H108,BUFFERS_BY_TYPE,2,FALSE))))*VLOOKUP($S$5, SALES_CALL_SCALE_ARRAY, 2,FALSE),0.25)</f>
        <v>7</v>
      </c>
      <c r="T108" s="158"/>
      <c r="U108" s="21">
        <v>0</v>
      </c>
      <c r="V108" s="21">
        <v>1</v>
      </c>
      <c r="W108" s="21">
        <v>0</v>
      </c>
      <c r="X108" s="156">
        <v>7</v>
      </c>
      <c r="Y108" s="157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7</v>
      </c>
      <c r="Z108" s="22"/>
      <c r="AA108" s="157">
        <f>Y108+Y108*VLOOKUP(I108,EXTRAS_ARRAY,2,FALSE)</f>
        <v>7</v>
      </c>
      <c r="AB108" s="20" t="s">
        <v>620</v>
      </c>
      <c r="AC108" s="34"/>
      <c r="AD108" s="23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spans="1:30" ht="16" outlineLevel="2" x14ac:dyDescent="0.2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ca="1">IFERROR(OFFSET(M109,-1,,1,1)+0.1,OFFSET(M109,-1,-1,1,1)&amp;".1")</f>
        <v>1.5000000000000004</v>
      </c>
      <c r="N109" s="20" t="s">
        <v>609</v>
      </c>
      <c r="O109" s="20" t="s">
        <v>602</v>
      </c>
      <c r="P109" s="20"/>
      <c r="Q109" s="134"/>
      <c r="R109" s="127"/>
      <c r="S109" s="157">
        <f>CEILING((IF(J109="Yes", 0, IF(H109="-",AA109,AA109+AA109*VLOOKUP(H109,BUFFERS_BY_TYPE,2,FALSE)))) +
   (IF(J109="Yes", 0, IF(H109="-",AA109,AA109+AA109*VLOOKUP(H109,BUFFERS_BY_TYPE,2,FALSE))))*VLOOKUP($S$5, SALES_CALL_SCALE_ARRAY, 2,FALSE),0.25)</f>
        <v>4</v>
      </c>
      <c r="T109" s="158"/>
      <c r="U109" s="21">
        <v>0</v>
      </c>
      <c r="V109" s="21">
        <v>1</v>
      </c>
      <c r="W109" s="21">
        <v>0</v>
      </c>
      <c r="X109" s="156">
        <v>4</v>
      </c>
      <c r="Y109" s="157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4</v>
      </c>
      <c r="Z109" s="22"/>
      <c r="AA109" s="157">
        <f>Y109+Y109*VLOOKUP(I109,EXTRAS_ARRAY,2,FALSE)</f>
        <v>4</v>
      </c>
      <c r="AB109" s="20" t="s">
        <v>620</v>
      </c>
      <c r="AC109" s="34"/>
      <c r="AD109" s="23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spans="1:30" ht="16" outlineLevel="2" x14ac:dyDescent="0.2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ca="1">IFERROR(OFFSET(M110,-1,,1,1)+0.1,OFFSET(M110,-1,-1,1,1)&amp;".1")</f>
        <v>1.6000000000000005</v>
      </c>
      <c r="N110" s="20" t="s">
        <v>610</v>
      </c>
      <c r="O110" s="20" t="s">
        <v>602</v>
      </c>
      <c r="P110" s="20"/>
      <c r="Q110" s="134"/>
      <c r="R110" s="127"/>
      <c r="S110" s="157">
        <f>CEILING((IF(J110="Yes", 0, IF(H110="-",AA110,AA110+AA110*VLOOKUP(H110,BUFFERS_BY_TYPE,2,FALSE)))) +
   (IF(J110="Yes", 0, IF(H110="-",AA110,AA110+AA110*VLOOKUP(H110,BUFFERS_BY_TYPE,2,FALSE))))*VLOOKUP($S$5, SALES_CALL_SCALE_ARRAY, 2,FALSE),0.25)</f>
        <v>7</v>
      </c>
      <c r="T110" s="158"/>
      <c r="U110" s="21">
        <v>0</v>
      </c>
      <c r="V110" s="21">
        <v>1</v>
      </c>
      <c r="W110" s="21">
        <v>0</v>
      </c>
      <c r="X110" s="156">
        <v>7</v>
      </c>
      <c r="Y110" s="157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7</v>
      </c>
      <c r="Z110" s="22"/>
      <c r="AA110" s="157">
        <f>Y110+Y110*VLOOKUP(I110,EXTRAS_ARRAY,2,FALSE)</f>
        <v>7</v>
      </c>
      <c r="AB110" s="20" t="s">
        <v>620</v>
      </c>
      <c r="AC110" s="34"/>
      <c r="AD110" s="23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ht="16" outlineLevel="2" x14ac:dyDescent="0.2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ca="1">IFERROR(OFFSET(M111,-1,,1,1)+0.1,OFFSET(M111,-1,-1,1,1)&amp;".1")</f>
        <v>1.7000000000000006</v>
      </c>
      <c r="N111" s="20" t="s">
        <v>611</v>
      </c>
      <c r="O111" s="20" t="s">
        <v>602</v>
      </c>
      <c r="P111" s="20"/>
      <c r="Q111" s="134"/>
      <c r="R111" s="127"/>
      <c r="S111" s="157">
        <f>CEILING((IF(J111="Yes", 0, IF(H111="-",AA111,AA111+AA111*VLOOKUP(H111,BUFFERS_BY_TYPE,2,FALSE)))) +
   (IF(J111="Yes", 0, IF(H111="-",AA111,AA111+AA111*VLOOKUP(H111,BUFFERS_BY_TYPE,2,FALSE))))*VLOOKUP($S$5, SALES_CALL_SCALE_ARRAY, 2,FALSE),0.25)</f>
        <v>4</v>
      </c>
      <c r="T111" s="158"/>
      <c r="U111" s="21">
        <v>0</v>
      </c>
      <c r="V111" s="21">
        <v>1</v>
      </c>
      <c r="W111" s="21">
        <v>0</v>
      </c>
      <c r="X111" s="156">
        <v>4</v>
      </c>
      <c r="Y111" s="157">
        <f>CEILING((IF(P111=AS_DEV_EFFORT, DEV_EFFORT*Q111%,
                           IF(P111=AS_DURATION_EFFORT, (MANUAL_DURATION*5)*Q111%,
                                    (IF(Q111&lt;=1,X111,
                                          IF(SUM(U111:W111)=0,(Q111*X111),
                                               (((Q111*U111)*(X111+(X111*EXTRA_FOR_H)))+
                                               ((Q111*V111)*X111)+
                                               ((Q111*W111)*(X111-(X111*LESS_FOR_L)))
                                    )*IF(R111=0,1,R111))))))+Z111), 0.25)</f>
        <v>4</v>
      </c>
      <c r="Z111" s="22"/>
      <c r="AA111" s="157">
        <f>Y111+Y111*VLOOKUP(I111,EXTRAS_ARRAY,2,FALSE)</f>
        <v>4</v>
      </c>
      <c r="AB111" s="20" t="s">
        <v>621</v>
      </c>
      <c r="AC111" s="34"/>
      <c r="AD111" s="23" t="str">
        <f>IF(J111&lt;&gt;"Yes",
IF(S111&lt;=0,"Error: Effort value is not defined or is invalid.",
IF(AND(SUM(U111:W111)&gt;0,SUM(U111:W111)&lt;&gt;1),"Error: Complexity % distribution should sum to 100%.",
IF(AND(P111=AS_DEV_EFFORT,X111&lt;&gt;0),"Error: PDs should not be defined when defining as dev effort %.",
IF(AND(P111=AS_DURATION_EFFORT,X111&lt;&gt;0),"Error: PDs should not be defined when defining as duration effort %.","")))))</f>
        <v/>
      </c>
    </row>
    <row r="112" spans="1:30" ht="16" outlineLevel="2" x14ac:dyDescent="0.2">
      <c r="A112" s="86" t="s">
        <v>0</v>
      </c>
      <c r="B112" s="18"/>
      <c r="C112" s="78"/>
      <c r="D112" s="78"/>
      <c r="E112" s="78"/>
      <c r="F112" s="79"/>
      <c r="G112" s="19" t="s">
        <v>23</v>
      </c>
      <c r="H112" s="19" t="s">
        <v>23</v>
      </c>
      <c r="I112" s="20" t="s">
        <v>23</v>
      </c>
      <c r="J112" s="19" t="s">
        <v>23</v>
      </c>
      <c r="K112" s="35"/>
      <c r="L112" s="19"/>
      <c r="M112" s="263">
        <f ca="1">IFERROR(OFFSET(M112,-1,,1,1)+0.1,OFFSET(M112,-1,-1,1,1)&amp;".1")</f>
        <v>1.8000000000000007</v>
      </c>
      <c r="N112" s="20" t="s">
        <v>134</v>
      </c>
      <c r="O112" s="20" t="s">
        <v>602</v>
      </c>
      <c r="P112" s="20"/>
      <c r="Q112" s="134"/>
      <c r="R112" s="127"/>
      <c r="S112" s="157">
        <f>CEILING((IF(J112="Yes", 0, IF(H112="-",AA112,AA112+AA112*VLOOKUP(H112,BUFFERS_BY_TYPE,2,FALSE)))) +
   (IF(J112="Yes", 0, IF(H112="-",AA112,AA112+AA112*VLOOKUP(H112,BUFFERS_BY_TYPE,2,FALSE))))*VLOOKUP($S$5, SALES_CALL_SCALE_ARRAY, 2,FALSE),0.25)</f>
        <v>5</v>
      </c>
      <c r="T112" s="158"/>
      <c r="U112" s="21">
        <v>0</v>
      </c>
      <c r="V112" s="21">
        <v>1</v>
      </c>
      <c r="W112" s="21">
        <v>0</v>
      </c>
      <c r="X112" s="156">
        <v>5</v>
      </c>
      <c r="Y112" s="157">
        <f>CEILING((IF(P112=AS_DEV_EFFORT, DEV_EFFORT*Q112%,
                           IF(P112=AS_DURATION_EFFORT, (MANUAL_DURATION*5)*Q112%,
                                    (IF(Q112&lt;=1,X112,
                                          IF(SUM(U112:W112)=0,(Q112*X112),
                                               (((Q112*U112)*(X112+(X112*EXTRA_FOR_H)))+
                                               ((Q112*V112)*X112)+
                                               ((Q112*W112)*(X112-(X112*LESS_FOR_L)))
                                    )*IF(R112=0,1,R112))))))+Z112), 0.25)</f>
        <v>5</v>
      </c>
      <c r="Z112" s="22"/>
      <c r="AA112" s="157">
        <f>Y112+Y112*VLOOKUP(I112,EXTRAS_ARRAY,2,FALSE)</f>
        <v>5</v>
      </c>
      <c r="AB112" s="20"/>
      <c r="AC112" s="34"/>
      <c r="AD112" s="23" t="str">
        <f>IF(J112&lt;&gt;"Yes",
IF(S112&lt;=0,"Error: Effort value is not defined or is invalid.",
IF(AND(SUM(U112:W112)&gt;0,SUM(U112:W112)&lt;&gt;1),"Error: Complexity % distribution should sum to 100%.",
IF(AND(P112=AS_DEV_EFFORT,X112&lt;&gt;0),"Error: PDs should not be defined when defining as dev effort %.",
IF(AND(P112=AS_DURATION_EFFORT,X112&lt;&gt;0),"Error: PDs should not be defined when defining as duration effort %.","")))))</f>
        <v/>
      </c>
    </row>
    <row r="113" spans="1:30" s="9" customFormat="1" ht="7.5" customHeight="1" outlineLevel="2" x14ac:dyDescent="0.2">
      <c r="A113" s="86" t="s">
        <v>132</v>
      </c>
      <c r="B113" s="15"/>
      <c r="C113" s="72"/>
      <c r="D113" s="72"/>
      <c r="E113" s="72"/>
      <c r="F113" s="72"/>
      <c r="M113" s="252"/>
      <c r="T113" s="15"/>
      <c r="X113" s="15"/>
      <c r="AB113" s="10"/>
      <c r="AC113" s="10"/>
      <c r="AD113" s="10"/>
    </row>
    <row r="114" spans="1:30" s="14" customFormat="1" ht="16" hidden="1" outlineLevel="1" collapsed="1" x14ac:dyDescent="0.2">
      <c r="A114" s="86" t="s">
        <v>100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7">
        <f ca="1">LOOKUP(1000,INDIRECT("L1:"&amp;CELL("address",INDIRECT("R[-1]C",FALSE))))+1</f>
        <v>2</v>
      </c>
      <c r="M114" s="274" t="s">
        <v>448</v>
      </c>
      <c r="N114" s="274"/>
      <c r="O114" s="5"/>
      <c r="P114" s="30"/>
      <c r="Q114" s="30"/>
      <c r="R114" s="30"/>
      <c r="S114" s="30"/>
      <c r="T114" s="155">
        <f>IF($S$6="Exclude", SUMIFS(S115:S120, J115:J120, "&lt;&gt;Yes", G115:G120, "&lt;&gt;Yes"), SUMIFS(S115:S120, J115:J120, "&lt;&gt;Yes"))</f>
        <v>0</v>
      </c>
      <c r="U114" s="30"/>
      <c r="V114" s="30"/>
      <c r="W114" s="30"/>
      <c r="X114" s="31"/>
      <c r="Y114" s="32"/>
      <c r="Z114" s="32"/>
      <c r="AA114" s="32"/>
      <c r="AB114" s="219"/>
      <c r="AC114" s="33"/>
      <c r="AD114" s="23" t="str">
        <f>IF(M114="", "Error: Task name cannot be empty.", "")</f>
        <v/>
      </c>
    </row>
    <row r="115" spans="1:30" s="12" customFormat="1" ht="1.5" hidden="1" customHeight="1" outlineLevel="2" x14ac:dyDescent="0.2">
      <c r="A115" s="86" t="s">
        <v>101</v>
      </c>
      <c r="B115" s="18"/>
      <c r="C115" s="77"/>
      <c r="D115" s="77"/>
      <c r="E115" s="77"/>
      <c r="F115" s="76"/>
      <c r="G115" s="29"/>
      <c r="H115" s="29"/>
      <c r="I115" s="29"/>
      <c r="J115" s="29"/>
      <c r="K115" s="29"/>
      <c r="L115" s="163">
        <f ca="1">L114</f>
        <v>2</v>
      </c>
      <c r="M115" s="164" t="s">
        <v>105</v>
      </c>
      <c r="N115" s="161"/>
      <c r="O115" s="162"/>
      <c r="P115" s="30"/>
      <c r="Q115" s="30"/>
      <c r="R115" s="30"/>
      <c r="S115" s="30"/>
      <c r="T115" s="155"/>
      <c r="U115" s="30"/>
      <c r="V115" s="30"/>
      <c r="W115" s="30"/>
      <c r="X115" s="31"/>
      <c r="Y115" s="32"/>
      <c r="Z115" s="32"/>
      <c r="AA115" s="32"/>
      <c r="AB115" s="33"/>
      <c r="AC115" s="33"/>
      <c r="AD115" s="23"/>
    </row>
    <row r="116" spans="1:30" ht="48" hidden="1" outlineLevel="2" x14ac:dyDescent="0.2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 t="str">
        <f ca="1">IFERROR(OFFSET(M116,-1,,1,1)+0.1,OFFSET(M116,-1,-1,1,1)&amp;".1")</f>
        <v>2.1</v>
      </c>
      <c r="N116" s="20" t="s">
        <v>493</v>
      </c>
      <c r="O116" s="20"/>
      <c r="P116" s="20"/>
      <c r="Q116" s="134"/>
      <c r="R116" s="127"/>
      <c r="S116" s="157">
        <f>CEILING((IF(J116="Yes", 0, IF(H116="-",AA116,AA116+AA116*VLOOKUP(H116,BUFFERS_BY_TYPE,2,FALSE)))) +
   (IF(J116="Yes", 0, IF(H116="-",AA116,AA116+AA116*VLOOKUP(H116,BUFFERS_BY_TYPE,2,FALSE))))*VLOOKUP($S$5, SALES_CALL_SCALE_ARRAY, 2,FALSE),0.25)</f>
        <v>0</v>
      </c>
      <c r="T116" s="158"/>
      <c r="U116" s="21">
        <v>0</v>
      </c>
      <c r="V116" s="21">
        <v>1</v>
      </c>
      <c r="W116" s="21">
        <v>0</v>
      </c>
      <c r="X116" s="156"/>
      <c r="Y116" s="157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0</v>
      </c>
      <c r="Z116" s="22"/>
      <c r="AA116" s="157">
        <f>Y116+Y116*VLOOKUP(I116,EXTRAS_ARRAY,2,FALSE)</f>
        <v>0</v>
      </c>
      <c r="AB116" s="20"/>
      <c r="AC116" s="34"/>
      <c r="AD116" s="23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>Error: Effort value is not defined or is invalid.</v>
      </c>
    </row>
    <row r="117" spans="1:30" ht="48" hidden="1" outlineLevel="2" x14ac:dyDescent="0.2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ca="1">IFERROR(OFFSET(M117,-1,,1,1)+0.1,OFFSET(M117,-1,-1,1,1)&amp;".1")</f>
        <v>2.2000000000000002</v>
      </c>
      <c r="N117" s="20" t="s">
        <v>494</v>
      </c>
      <c r="O117" s="20"/>
      <c r="P117" s="20"/>
      <c r="Q117" s="134"/>
      <c r="R117" s="127"/>
      <c r="S117" s="157">
        <f>CEILING((IF(J117="Yes", 0, IF(H117="-",AA117,AA117+AA117*VLOOKUP(H117,BUFFERS_BY_TYPE,2,FALSE)))) +
   (IF(J117="Yes", 0, IF(H117="-",AA117,AA117+AA117*VLOOKUP(H117,BUFFERS_BY_TYPE,2,FALSE))))*VLOOKUP($S$5, SALES_CALL_SCALE_ARRAY, 2,FALSE),0.25)</f>
        <v>0</v>
      </c>
      <c r="T117" s="158"/>
      <c r="U117" s="21">
        <v>0</v>
      </c>
      <c r="V117" s="21">
        <v>1</v>
      </c>
      <c r="W117" s="21">
        <v>0</v>
      </c>
      <c r="X117" s="156"/>
      <c r="Y117" s="157">
        <f>CEILING((IF(P117=AS_DEV_EFFORT, DEV_EFFORT*Q117%,
                           IF(P117=AS_DURATION_EFFORT, (MANUAL_DURATION*5)*Q117%,
                                    (IF(Q117&lt;=1,X117,
                                          IF(SUM(U117:W117)=0,(Q117*X117),
                                               (((Q117*U117)*(X117+(X117*EXTRA_FOR_H)))+
                                               ((Q117*V117)*X117)+
                                               ((Q117*W117)*(X117-(X117*LESS_FOR_L)))
                                    )*IF(R117=0,1,R117))))))+Z117), 0.25)</f>
        <v>0</v>
      </c>
      <c r="Z117" s="22"/>
      <c r="AA117" s="157">
        <f>Y117+Y117*VLOOKUP(I117,EXTRAS_ARRAY,2,FALSE)</f>
        <v>0</v>
      </c>
      <c r="AB117" s="20"/>
      <c r="AC117" s="34"/>
      <c r="AD117" s="23" t="str">
        <f>IF(J117&lt;&gt;"Yes",
IF(S117&lt;=0,"Error: Effort value is not defined or is invalid.",
IF(AND(SUM(U117:W117)&gt;0,SUM(U117:W117)&lt;&gt;1),"Error: Complexity % distribution should sum to 100%.",
IF(AND(P117=AS_DEV_EFFORT,X117&lt;&gt;0),"Error: PDs should not be defined when defining as dev effort %.",
IF(AND(P117=AS_DURATION_EFFORT,X117&lt;&gt;0),"Error: PDs should not be defined when defining as duration effort %.","")))))</f>
        <v>Error: Effort value is not defined or is invalid.</v>
      </c>
    </row>
    <row r="118" spans="1:30" ht="48" hidden="1" outlineLevel="2" x14ac:dyDescent="0.2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ca="1">IFERROR(OFFSET(M118,-1,,1,1)+0.1,OFFSET(M118,-1,-1,1,1)&amp;".1")</f>
        <v>2.3000000000000003</v>
      </c>
      <c r="N118" s="20" t="s">
        <v>495</v>
      </c>
      <c r="O118" s="20"/>
      <c r="P118" s="20"/>
      <c r="Q118" s="134"/>
      <c r="R118" s="127"/>
      <c r="S118" s="157">
        <f>CEILING((IF(J118="Yes", 0, IF(H118="-",AA118,AA118+AA118*VLOOKUP(H118,BUFFERS_BY_TYPE,2,FALSE)))) +
   (IF(J118="Yes", 0, IF(H118="-",AA118,AA118+AA118*VLOOKUP(H118,BUFFERS_BY_TYPE,2,FALSE))))*VLOOKUP($S$5, SALES_CALL_SCALE_ARRAY, 2,FALSE),0.25)</f>
        <v>0</v>
      </c>
      <c r="T118" s="158"/>
      <c r="U118" s="21">
        <v>0</v>
      </c>
      <c r="V118" s="21">
        <v>1</v>
      </c>
      <c r="W118" s="21">
        <v>0</v>
      </c>
      <c r="X118" s="156"/>
      <c r="Y118" s="157">
        <f>CEILING((IF(P118=AS_DEV_EFFORT, DEV_EFFORT*Q118%,
                           IF(P118=AS_DURATION_EFFORT, (MANUAL_DURATION*5)*Q118%,
                                    (IF(Q118&lt;=1,X118,
                                          IF(SUM(U118:W118)=0,(Q118*X118),
                                               (((Q118*U118)*(X118+(X118*EXTRA_FOR_H)))+
                                               ((Q118*V118)*X118)+
                                               ((Q118*W118)*(X118-(X118*LESS_FOR_L)))
                                    )*IF(R118=0,1,R118))))))+Z118), 0.25)</f>
        <v>0</v>
      </c>
      <c r="Z118" s="22"/>
      <c r="AA118" s="157">
        <f>Y118+Y118*VLOOKUP(I118,EXTRAS_ARRAY,2,FALSE)</f>
        <v>0</v>
      </c>
      <c r="AB118" s="20"/>
      <c r="AC118" s="34"/>
      <c r="AD118" s="23" t="str">
        <f>IF(J118&lt;&gt;"Yes",
IF(S118&lt;=0,"Error: Effort value is not defined or is invalid.",
IF(AND(SUM(U118:W118)&gt;0,SUM(U118:W118)&lt;&gt;1),"Error: Complexity % distribution should sum to 100%.",
IF(AND(P118=AS_DEV_EFFORT,X118&lt;&gt;0),"Error: PDs should not be defined when defining as dev effort %.",
IF(AND(P118=AS_DURATION_EFFORT,X118&lt;&gt;0),"Error: PDs should not be defined when defining as duration effort %.","")))))</f>
        <v>Error: Effort value is not defined or is invalid.</v>
      </c>
    </row>
    <row r="119" spans="1:30" ht="48" hidden="1" outlineLevel="2" x14ac:dyDescent="0.2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ca="1">IFERROR(OFFSET(M119,-1,,1,1)+0.1,OFFSET(M119,-1,-1,1,1)&amp;".1")</f>
        <v>2.4000000000000004</v>
      </c>
      <c r="N119" s="20" t="s">
        <v>496</v>
      </c>
      <c r="O119" s="20"/>
      <c r="P119" s="20"/>
      <c r="Q119" s="134"/>
      <c r="R119" s="127"/>
      <c r="S119" s="157">
        <f>CEILING((IF(J119="Yes", 0, IF(H119="-",AA119,AA119+AA119*VLOOKUP(H119,BUFFERS_BY_TYPE,2,FALSE)))) +
   (IF(J119="Yes", 0, IF(H119="-",AA119,AA119+AA119*VLOOKUP(H119,BUFFERS_BY_TYPE,2,FALSE))))*VLOOKUP($S$5, SALES_CALL_SCALE_ARRAY, 2,FALSE),0.25)</f>
        <v>0</v>
      </c>
      <c r="T119" s="158"/>
      <c r="U119" s="21">
        <v>0</v>
      </c>
      <c r="V119" s="21">
        <v>1</v>
      </c>
      <c r="W119" s="21">
        <v>0</v>
      </c>
      <c r="X119" s="156"/>
      <c r="Y119" s="157">
        <f>CEILING((IF(P119=AS_DEV_EFFORT, DEV_EFFORT*Q119%,
                           IF(P119=AS_DURATION_EFFORT, (MANUAL_DURATION*5)*Q119%,
                                    (IF(Q119&lt;=1,X119,
                                          IF(SUM(U119:W119)=0,(Q119*X119),
                                               (((Q119*U119)*(X119+(X119*EXTRA_FOR_H)))+
                                               ((Q119*V119)*X119)+
                                               ((Q119*W119)*(X119-(X119*LESS_FOR_L)))
                                    )*IF(R119=0,1,R119))))))+Z119), 0.25)</f>
        <v>0</v>
      </c>
      <c r="Z119" s="22"/>
      <c r="AA119" s="157">
        <f>Y119+Y119*VLOOKUP(I119,EXTRAS_ARRAY,2,FALSE)</f>
        <v>0</v>
      </c>
      <c r="AB119" s="20"/>
      <c r="AC119" s="34"/>
      <c r="AD119" s="23" t="str">
        <f>IF(J119&lt;&gt;"Yes",
IF(S119&lt;=0,"Error: Effort value is not defined or is invalid.",
IF(AND(SUM(U119:W119)&gt;0,SUM(U119:W119)&lt;&gt;1),"Error: Complexity % distribution should sum to 100%.",
IF(AND(P119=AS_DEV_EFFORT,X119&lt;&gt;0),"Error: PDs should not be defined when defining as dev effort %.",
IF(AND(P119=AS_DURATION_EFFORT,X119&lt;&gt;0),"Error: PDs should not be defined when defining as duration effort %.","")))))</f>
        <v>Error: Effort value is not defined or is invalid.</v>
      </c>
    </row>
    <row r="120" spans="1:30" s="9" customFormat="1" ht="7.5" hidden="1" customHeight="1" outlineLevel="2" x14ac:dyDescent="0.2">
      <c r="A120" s="86" t="s">
        <v>132</v>
      </c>
      <c r="B120" s="15"/>
      <c r="C120" s="72"/>
      <c r="D120" s="72"/>
      <c r="E120" s="72"/>
      <c r="F120" s="72"/>
      <c r="M120" s="252"/>
      <c r="T120" s="15"/>
      <c r="X120" s="15"/>
      <c r="AB120" s="10"/>
      <c r="AC120" s="10"/>
      <c r="AD120" s="10"/>
    </row>
    <row r="121" spans="1:30" s="14" customFormat="1" ht="16" hidden="1" outlineLevel="1" collapsed="1" x14ac:dyDescent="0.2">
      <c r="A121" s="86" t="s">
        <v>100</v>
      </c>
      <c r="B121" s="18"/>
      <c r="C121" s="77"/>
      <c r="D121" s="77"/>
      <c r="E121" s="77"/>
      <c r="F121" s="76"/>
      <c r="G121" s="29"/>
      <c r="H121" s="29"/>
      <c r="I121" s="29"/>
      <c r="J121" s="29"/>
      <c r="K121" s="29"/>
      <c r="L121" s="17">
        <f ca="1">LOOKUP(1000,INDIRECT("L1:"&amp;CELL("address",INDIRECT("R[-1]C",FALSE))))+1</f>
        <v>3</v>
      </c>
      <c r="M121" s="274" t="s">
        <v>449</v>
      </c>
      <c r="N121" s="274"/>
      <c r="O121" s="5"/>
      <c r="P121" s="30"/>
      <c r="Q121" s="30"/>
      <c r="R121" s="30"/>
      <c r="S121" s="30"/>
      <c r="T121" s="155">
        <f>IF($S$6="Exclude", SUMIFS(S122:S128, J122:J128, "&lt;&gt;Yes", G122:G128, "&lt;&gt;Yes"), SUMIFS(S122:S128, J122:J128, "&lt;&gt;Yes"))</f>
        <v>0</v>
      </c>
      <c r="U121" s="30"/>
      <c r="V121" s="30"/>
      <c r="W121" s="30"/>
      <c r="X121" s="31"/>
      <c r="Y121" s="32"/>
      <c r="Z121" s="32"/>
      <c r="AA121" s="32"/>
      <c r="AB121" s="219"/>
      <c r="AC121" s="33"/>
      <c r="AD121" s="23" t="str">
        <f>IF(M121="", "Error: Task name cannot be empty.", "")</f>
        <v/>
      </c>
    </row>
    <row r="122" spans="1:30" s="12" customFormat="1" ht="1.5" hidden="1" customHeight="1" outlineLevel="2" x14ac:dyDescent="0.2">
      <c r="A122" s="86" t="s">
        <v>101</v>
      </c>
      <c r="B122" s="18"/>
      <c r="C122" s="77"/>
      <c r="D122" s="77"/>
      <c r="E122" s="77"/>
      <c r="F122" s="76"/>
      <c r="G122" s="29"/>
      <c r="H122" s="29"/>
      <c r="I122" s="29"/>
      <c r="J122" s="29"/>
      <c r="K122" s="29"/>
      <c r="L122" s="163">
        <f ca="1">L121</f>
        <v>3</v>
      </c>
      <c r="M122" s="164" t="s">
        <v>105</v>
      </c>
      <c r="N122" s="161"/>
      <c r="O122" s="162"/>
      <c r="P122" s="30"/>
      <c r="Q122" s="30"/>
      <c r="R122" s="30"/>
      <c r="S122" s="30"/>
      <c r="T122" s="155"/>
      <c r="U122" s="30"/>
      <c r="V122" s="30"/>
      <c r="W122" s="30"/>
      <c r="X122" s="31"/>
      <c r="Y122" s="32"/>
      <c r="Z122" s="32"/>
      <c r="AA122" s="32"/>
      <c r="AB122" s="33"/>
      <c r="AC122" s="33"/>
      <c r="AD122" s="23"/>
    </row>
    <row r="123" spans="1:30" ht="48" hidden="1" outlineLevel="2" x14ac:dyDescent="0.2">
      <c r="A123" s="86" t="s">
        <v>0</v>
      </c>
      <c r="B123" s="18"/>
      <c r="C123" s="78"/>
      <c r="D123" s="78"/>
      <c r="E123" s="78"/>
      <c r="F123" s="79"/>
      <c r="G123" s="19" t="s">
        <v>23</v>
      </c>
      <c r="H123" s="19" t="s">
        <v>23</v>
      </c>
      <c r="I123" s="20" t="s">
        <v>23</v>
      </c>
      <c r="J123" s="19" t="s">
        <v>23</v>
      </c>
      <c r="K123" s="35"/>
      <c r="L123" s="19"/>
      <c r="M123" s="263" t="str">
        <f ca="1">IFERROR(OFFSET(M123,-1,,1,1)+0.1,OFFSET(M123,-1,-1,1,1)&amp;".1")</f>
        <v>3.1</v>
      </c>
      <c r="N123" s="20" t="s">
        <v>497</v>
      </c>
      <c r="O123" s="20"/>
      <c r="P123" s="20"/>
      <c r="Q123" s="134"/>
      <c r="R123" s="127"/>
      <c r="S123" s="157">
        <f>CEILING((IF(J123="Yes", 0, IF(H123="-",AA123,AA123+AA123*VLOOKUP(H123,BUFFERS_BY_TYPE,2,FALSE)))) +
   (IF(J123="Yes", 0, IF(H123="-",AA123,AA123+AA123*VLOOKUP(H123,BUFFERS_BY_TYPE,2,FALSE))))*VLOOKUP($S$5, SALES_CALL_SCALE_ARRAY, 2,FALSE),0.25)</f>
        <v>0</v>
      </c>
      <c r="T123" s="158"/>
      <c r="U123" s="21">
        <v>0</v>
      </c>
      <c r="V123" s="21">
        <v>1</v>
      </c>
      <c r="W123" s="21">
        <v>0</v>
      </c>
      <c r="X123" s="156"/>
      <c r="Y123" s="157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0</v>
      </c>
      <c r="Z123" s="22"/>
      <c r="AA123" s="157">
        <f>Y123+Y123*VLOOKUP(I123,EXTRAS_ARRAY,2,FALSE)</f>
        <v>0</v>
      </c>
      <c r="AB123" s="20"/>
      <c r="AC123" s="34"/>
      <c r="AD123" s="23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>Error: Effort value is not defined or is invalid.</v>
      </c>
    </row>
    <row r="124" spans="1:30" ht="48" hidden="1" outlineLevel="2" x14ac:dyDescent="0.2">
      <c r="A124" s="86" t="s">
        <v>0</v>
      </c>
      <c r="B124" s="18"/>
      <c r="C124" s="78"/>
      <c r="D124" s="78"/>
      <c r="E124" s="78"/>
      <c r="F124" s="79"/>
      <c r="G124" s="19" t="s">
        <v>23</v>
      </c>
      <c r="H124" s="19" t="s">
        <v>23</v>
      </c>
      <c r="I124" s="20" t="s">
        <v>23</v>
      </c>
      <c r="J124" s="19" t="s">
        <v>23</v>
      </c>
      <c r="K124" s="35"/>
      <c r="L124" s="19"/>
      <c r="M124" s="263">
        <f ca="1">IFERROR(OFFSET(M124,-1,,1,1)+0.1,OFFSET(M124,-1,-1,1,1)&amp;".1")</f>
        <v>3.2</v>
      </c>
      <c r="N124" s="20" t="s">
        <v>498</v>
      </c>
      <c r="O124" s="20"/>
      <c r="P124" s="20"/>
      <c r="Q124" s="134"/>
      <c r="R124" s="127"/>
      <c r="S124" s="157">
        <f>CEILING((IF(J124="Yes", 0, IF(H124="-",AA124,AA124+AA124*VLOOKUP(H124,BUFFERS_BY_TYPE,2,FALSE)))) +
   (IF(J124="Yes", 0, IF(H124="-",AA124,AA124+AA124*VLOOKUP(H124,BUFFERS_BY_TYPE,2,FALSE))))*VLOOKUP($S$5, SALES_CALL_SCALE_ARRAY, 2,FALSE),0.25)</f>
        <v>0</v>
      </c>
      <c r="T124" s="158"/>
      <c r="U124" s="21">
        <v>0</v>
      </c>
      <c r="V124" s="21">
        <v>1</v>
      </c>
      <c r="W124" s="21">
        <v>0</v>
      </c>
      <c r="X124" s="156"/>
      <c r="Y124" s="157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0</v>
      </c>
      <c r="Z124" s="22"/>
      <c r="AA124" s="157">
        <f>Y124+Y124*VLOOKUP(I124,EXTRAS_ARRAY,2,FALSE)</f>
        <v>0</v>
      </c>
      <c r="AB124" s="20"/>
      <c r="AC124" s="34"/>
      <c r="AD124" s="23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>Error: Effort value is not defined or is invalid.</v>
      </c>
    </row>
    <row r="125" spans="1:30" ht="48" hidden="1" outlineLevel="2" x14ac:dyDescent="0.2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>
        <f ca="1">IFERROR(OFFSET(M125,-1,,1,1)+0.1,OFFSET(M125,-1,-1,1,1)&amp;".1")</f>
        <v>3.3000000000000003</v>
      </c>
      <c r="N125" s="20" t="s">
        <v>499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0</v>
      </c>
      <c r="T125" s="158"/>
      <c r="U125" s="21">
        <v>0</v>
      </c>
      <c r="V125" s="21">
        <v>1</v>
      </c>
      <c r="W125" s="21">
        <v>0</v>
      </c>
      <c r="X125" s="156"/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0</v>
      </c>
      <c r="Z125" s="22"/>
      <c r="AA125" s="157">
        <f>Y125+Y125*VLOOKUP(I125,EXTRAS_ARRAY,2,FALSE)</f>
        <v>0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>Error: Effort value is not defined or is invalid.</v>
      </c>
    </row>
    <row r="126" spans="1:30" ht="48" hidden="1" outlineLevel="2" x14ac:dyDescent="0.2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3.4000000000000004</v>
      </c>
      <c r="N126" s="20" t="s">
        <v>500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0</v>
      </c>
      <c r="T126" s="158"/>
      <c r="U126" s="21">
        <v>0</v>
      </c>
      <c r="V126" s="21">
        <v>1</v>
      </c>
      <c r="W126" s="21">
        <v>0</v>
      </c>
      <c r="X126" s="156"/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</v>
      </c>
      <c r="Z126" s="22"/>
      <c r="AA126" s="157">
        <f>Y126+Y126*VLOOKUP(I126,EXTRAS_ARRAY,2,FALSE)</f>
        <v>0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>Error: Effort value is not defined or is invalid.</v>
      </c>
    </row>
    <row r="127" spans="1:30" ht="48" hidden="1" outlineLevel="2" x14ac:dyDescent="0.2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3.5000000000000004</v>
      </c>
      <c r="N127" s="20" t="s">
        <v>501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0</v>
      </c>
      <c r="T127" s="158"/>
      <c r="U127" s="21">
        <v>0</v>
      </c>
      <c r="V127" s="21">
        <v>1</v>
      </c>
      <c r="W127" s="21">
        <v>0</v>
      </c>
      <c r="X127" s="156"/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0</v>
      </c>
      <c r="Z127" s="22"/>
      <c r="AA127" s="157">
        <f>Y127+Y127*VLOOKUP(I127,EXTRAS_ARRAY,2,FALSE)</f>
        <v>0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>Error: Effort value is not defined or is invalid.</v>
      </c>
    </row>
    <row r="128" spans="1:30" s="9" customFormat="1" ht="7.5" hidden="1" customHeight="1" outlineLevel="2" x14ac:dyDescent="0.2">
      <c r="A128" s="86" t="s">
        <v>132</v>
      </c>
      <c r="B128" s="15"/>
      <c r="C128" s="72"/>
      <c r="D128" s="72"/>
      <c r="E128" s="72"/>
      <c r="F128" s="72"/>
      <c r="M128" s="252"/>
      <c r="T128" s="15"/>
      <c r="X128" s="15"/>
      <c r="AB128" s="10"/>
      <c r="AC128" s="10"/>
      <c r="AD128" s="10"/>
    </row>
    <row r="129" spans="1:30" s="14" customFormat="1" ht="16" hidden="1" outlineLevel="1" x14ac:dyDescent="0.2">
      <c r="A129" s="86" t="s">
        <v>107</v>
      </c>
      <c r="B129" s="18"/>
      <c r="C129" s="77"/>
      <c r="D129" s="77"/>
      <c r="E129" s="77"/>
      <c r="F129" s="76"/>
      <c r="G129" s="170"/>
      <c r="H129" s="170"/>
      <c r="I129" s="170"/>
      <c r="J129" s="170"/>
      <c r="K129" s="170"/>
      <c r="L129" s="85" t="s">
        <v>109</v>
      </c>
      <c r="M129" s="292" t="s">
        <v>124</v>
      </c>
      <c r="N129" s="292"/>
      <c r="O129" s="80"/>
      <c r="P129" s="81"/>
      <c r="Q129" s="81"/>
      <c r="R129" s="81"/>
      <c r="S129" s="276">
        <f>SUMGROUP(ROW(), "T")</f>
        <v>0</v>
      </c>
      <c r="T129" s="276"/>
      <c r="U129" s="285"/>
      <c r="V129" s="285"/>
      <c r="W129" s="285"/>
      <c r="X129" s="82"/>
      <c r="Y129" s="83"/>
      <c r="Z129" s="83"/>
      <c r="AA129" s="83"/>
      <c r="AB129" s="221"/>
      <c r="AC129" s="84"/>
      <c r="AD129" s="23" t="str">
        <f>IF(M129="", "Error: Module name cannot be empty.", "")</f>
        <v/>
      </c>
    </row>
    <row r="130" spans="1:30" s="14" customFormat="1" ht="16" hidden="1" outlineLevel="1" collapsed="1" x14ac:dyDescent="0.2">
      <c r="A130" s="86" t="s">
        <v>100</v>
      </c>
      <c r="B130" s="18"/>
      <c r="C130" s="77"/>
      <c r="D130" s="77"/>
      <c r="E130" s="77"/>
      <c r="F130" s="76"/>
      <c r="G130" s="29"/>
      <c r="H130" s="29"/>
      <c r="I130" s="29"/>
      <c r="J130" s="29"/>
      <c r="K130" s="29"/>
      <c r="L130" s="17">
        <f ca="1">LOOKUP(1000,INDIRECT("L1:"&amp;CELL("address",INDIRECT("R[-1]C",FALSE))))+1</f>
        <v>4</v>
      </c>
      <c r="M130" s="274" t="s">
        <v>108</v>
      </c>
      <c r="N130" s="274"/>
      <c r="O130" s="5"/>
      <c r="P130" s="30"/>
      <c r="Q130" s="30"/>
      <c r="R130" s="30"/>
      <c r="S130" s="30"/>
      <c r="T130" s="155">
        <f>IF($S$6="Exclude", SUMIFS(S131:S134, J131:J134, "&lt;&gt;Yes", G131:G134, "&lt;&gt;Yes"), SUMIFS(S131:S134, J131:J134, "&lt;&gt;Yes"))</f>
        <v>0</v>
      </c>
      <c r="U130" s="30"/>
      <c r="V130" s="30"/>
      <c r="W130" s="30"/>
      <c r="X130" s="31"/>
      <c r="Y130" s="32"/>
      <c r="Z130" s="32"/>
      <c r="AA130" s="32"/>
      <c r="AB130" s="219"/>
      <c r="AC130" s="33"/>
      <c r="AD130" s="23" t="str">
        <f>IF(M130="", "Error: Task name cannot be empty.", "")</f>
        <v/>
      </c>
    </row>
    <row r="131" spans="1:30" s="12" customFormat="1" ht="1.5" hidden="1" customHeight="1" outlineLevel="2" x14ac:dyDescent="0.2">
      <c r="A131" s="86" t="s">
        <v>101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63">
        <f ca="1">L130</f>
        <v>4</v>
      </c>
      <c r="M131" s="164" t="s">
        <v>105</v>
      </c>
      <c r="N131" s="161"/>
      <c r="O131" s="162"/>
      <c r="P131" s="30"/>
      <c r="Q131" s="30"/>
      <c r="R131" s="30"/>
      <c r="S131" s="30"/>
      <c r="T131" s="155"/>
      <c r="U131" s="30"/>
      <c r="V131" s="30"/>
      <c r="W131" s="30"/>
      <c r="X131" s="31"/>
      <c r="Y131" s="32"/>
      <c r="Z131" s="32"/>
      <c r="AA131" s="32"/>
      <c r="AB131" s="33"/>
      <c r="AC131" s="33"/>
      <c r="AD131" s="23"/>
    </row>
    <row r="132" spans="1:30" ht="48" hidden="1" outlineLevel="2" x14ac:dyDescent="0.2">
      <c r="A132" s="86" t="s">
        <v>0</v>
      </c>
      <c r="B132" s="18"/>
      <c r="C132" s="78"/>
      <c r="D132" s="78"/>
      <c r="E132" s="78"/>
      <c r="F132" s="79"/>
      <c r="G132" s="19" t="s">
        <v>23</v>
      </c>
      <c r="H132" s="19" t="s">
        <v>23</v>
      </c>
      <c r="I132" s="20" t="s">
        <v>23</v>
      </c>
      <c r="J132" s="19" t="s">
        <v>23</v>
      </c>
      <c r="K132" s="35"/>
      <c r="L132" s="19"/>
      <c r="M132" s="263" t="str">
        <f ca="1">IFERROR(OFFSET(M132,-1,,1,1)+0.1,OFFSET(M132,-1,-1,1,1)&amp;".1")</f>
        <v>4.1</v>
      </c>
      <c r="N132" s="20" t="s">
        <v>502</v>
      </c>
      <c r="O132" s="20"/>
      <c r="P132" s="20"/>
      <c r="Q132" s="134"/>
      <c r="R132" s="127"/>
      <c r="S132" s="157">
        <f>CEILING((IF(J132="Yes", 0, IF(H132="-",AA132,AA132+AA132*VLOOKUP(H132,BUFFERS_BY_TYPE,2,FALSE)))) +
   (IF(J132="Yes", 0, IF(H132="-",AA132,AA132+AA132*VLOOKUP(H132,BUFFERS_BY_TYPE,2,FALSE))))*VLOOKUP($S$5, SALES_CALL_SCALE_ARRAY, 2,FALSE),0.25)</f>
        <v>0</v>
      </c>
      <c r="T132" s="158"/>
      <c r="U132" s="21">
        <v>0</v>
      </c>
      <c r="V132" s="21">
        <v>1</v>
      </c>
      <c r="W132" s="21">
        <v>0</v>
      </c>
      <c r="X132" s="156"/>
      <c r="Y132" s="157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0</v>
      </c>
      <c r="Z132" s="22"/>
      <c r="AA132" s="157">
        <f>Y132+Y132*VLOOKUP(I132,EXTRAS_ARRAY,2,FALSE)</f>
        <v>0</v>
      </c>
      <c r="AB132" s="20"/>
      <c r="AC132" s="34"/>
      <c r="AD132" s="23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>Error: Effort value is not defined or is invalid.</v>
      </c>
    </row>
    <row r="133" spans="1:30" ht="48" hidden="1" outlineLevel="2" x14ac:dyDescent="0.2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>
        <f ca="1">IFERROR(OFFSET(M133,-1,,1,1)+0.1,OFFSET(M133,-1,-1,1,1)&amp;".1")</f>
        <v>4.1999999999999993</v>
      </c>
      <c r="N133" s="20" t="s">
        <v>503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0</v>
      </c>
      <c r="T133" s="158"/>
      <c r="U133" s="21">
        <v>0</v>
      </c>
      <c r="V133" s="21">
        <v>1</v>
      </c>
      <c r="W133" s="21">
        <v>0</v>
      </c>
      <c r="X133" s="156"/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0</v>
      </c>
      <c r="Z133" s="22"/>
      <c r="AA133" s="157">
        <f>Y133+Y133*VLOOKUP(I133,EXTRAS_ARRAY,2,FALSE)</f>
        <v>0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>Error: Effort value is not defined or is invalid.</v>
      </c>
    </row>
    <row r="134" spans="1:30" s="9" customFormat="1" ht="7.5" hidden="1" customHeight="1" outlineLevel="2" x14ac:dyDescent="0.2">
      <c r="A134" s="86" t="s">
        <v>132</v>
      </c>
      <c r="B134" s="15"/>
      <c r="C134" s="72"/>
      <c r="D134" s="72"/>
      <c r="E134" s="72"/>
      <c r="F134" s="72"/>
      <c r="M134" s="252"/>
      <c r="T134" s="15"/>
      <c r="X134" s="15"/>
      <c r="AB134" s="10"/>
      <c r="AC134" s="10"/>
      <c r="AD134" s="10"/>
    </row>
    <row r="135" spans="1:30" s="14" customFormat="1" ht="16" hidden="1" outlineLevel="1" x14ac:dyDescent="0.2">
      <c r="A135" s="86" t="s">
        <v>107</v>
      </c>
      <c r="B135" s="18"/>
      <c r="C135" s="77"/>
      <c r="D135" s="77"/>
      <c r="E135" s="77"/>
      <c r="F135" s="76"/>
      <c r="G135" s="170"/>
      <c r="H135" s="170"/>
      <c r="I135" s="170"/>
      <c r="J135" s="170"/>
      <c r="K135" s="170"/>
      <c r="L135" s="85" t="s">
        <v>109</v>
      </c>
      <c r="M135" s="292" t="s">
        <v>450</v>
      </c>
      <c r="N135" s="292"/>
      <c r="O135" s="80"/>
      <c r="P135" s="81"/>
      <c r="Q135" s="81"/>
      <c r="R135" s="81"/>
      <c r="S135" s="276">
        <f>SUMGROUP(ROW(), "T")</f>
        <v>0</v>
      </c>
      <c r="T135" s="276"/>
      <c r="U135" s="285"/>
      <c r="V135" s="285"/>
      <c r="W135" s="285"/>
      <c r="X135" s="82"/>
      <c r="Y135" s="83"/>
      <c r="Z135" s="83"/>
      <c r="AA135" s="83"/>
      <c r="AB135" s="221"/>
      <c r="AC135" s="84"/>
      <c r="AD135" s="23" t="str">
        <f>IF(M135="", "Error: Module name cannot be empty.", "")</f>
        <v/>
      </c>
    </row>
    <row r="136" spans="1:30" s="14" customFormat="1" ht="16" hidden="1" outlineLevel="1" collapsed="1" x14ac:dyDescent="0.2">
      <c r="A136" s="86" t="s">
        <v>100</v>
      </c>
      <c r="B136" s="18"/>
      <c r="C136" s="77"/>
      <c r="D136" s="77"/>
      <c r="E136" s="77"/>
      <c r="F136" s="76"/>
      <c r="G136" s="29"/>
      <c r="H136" s="29"/>
      <c r="I136" s="29"/>
      <c r="J136" s="29"/>
      <c r="K136" s="29"/>
      <c r="L136" s="17">
        <f ca="1">LOOKUP(1000,INDIRECT("L1:"&amp;CELL("address",INDIRECT("R[-1]C",FALSE))))+1</f>
        <v>5</v>
      </c>
      <c r="M136" s="274" t="s">
        <v>451</v>
      </c>
      <c r="N136" s="274"/>
      <c r="O136" s="5"/>
      <c r="P136" s="30"/>
      <c r="Q136" s="30"/>
      <c r="R136" s="30"/>
      <c r="S136" s="30"/>
      <c r="T136" s="155">
        <f>IF($S$6="Exclude", SUMIFS(S137:S140, J137:J140, "&lt;&gt;Yes", G137:G140, "&lt;&gt;Yes"), SUMIFS(S137:S140, J137:J140, "&lt;&gt;Yes"))</f>
        <v>0</v>
      </c>
      <c r="U136" s="30"/>
      <c r="V136" s="30"/>
      <c r="W136" s="30"/>
      <c r="X136" s="31"/>
      <c r="Y136" s="32"/>
      <c r="Z136" s="32"/>
      <c r="AA136" s="32"/>
      <c r="AB136" s="219"/>
      <c r="AC136" s="33"/>
      <c r="AD136" s="23" t="str">
        <f>IF(M136="", "Error: Task name cannot be empty.", "")</f>
        <v/>
      </c>
    </row>
    <row r="137" spans="1:30" s="12" customFormat="1" ht="1.5" hidden="1" customHeight="1" outlineLevel="2" x14ac:dyDescent="0.2">
      <c r="A137" s="86" t="s">
        <v>101</v>
      </c>
      <c r="B137" s="18"/>
      <c r="C137" s="77"/>
      <c r="D137" s="77"/>
      <c r="E137" s="77"/>
      <c r="F137" s="76"/>
      <c r="G137" s="29"/>
      <c r="H137" s="29"/>
      <c r="I137" s="29"/>
      <c r="J137" s="29"/>
      <c r="K137" s="29"/>
      <c r="L137" s="163">
        <f ca="1">L136</f>
        <v>5</v>
      </c>
      <c r="M137" s="164" t="s">
        <v>105</v>
      </c>
      <c r="N137" s="161"/>
      <c r="O137" s="162"/>
      <c r="P137" s="30"/>
      <c r="Q137" s="30"/>
      <c r="R137" s="30"/>
      <c r="S137" s="30"/>
      <c r="T137" s="155"/>
      <c r="U137" s="30"/>
      <c r="V137" s="30"/>
      <c r="W137" s="30"/>
      <c r="X137" s="31"/>
      <c r="Y137" s="32"/>
      <c r="Z137" s="32"/>
      <c r="AA137" s="32"/>
      <c r="AB137" s="33"/>
      <c r="AC137" s="33"/>
      <c r="AD137" s="23"/>
    </row>
    <row r="138" spans="1:30" ht="48" hidden="1" outlineLevel="2" x14ac:dyDescent="0.2">
      <c r="A138" s="86" t="s">
        <v>0</v>
      </c>
      <c r="B138" s="18"/>
      <c r="C138" s="78"/>
      <c r="D138" s="78"/>
      <c r="E138" s="78"/>
      <c r="F138" s="79"/>
      <c r="G138" s="19" t="s">
        <v>23</v>
      </c>
      <c r="H138" s="19" t="s">
        <v>23</v>
      </c>
      <c r="I138" s="20" t="s">
        <v>23</v>
      </c>
      <c r="J138" s="19" t="s">
        <v>23</v>
      </c>
      <c r="K138" s="35"/>
      <c r="L138" s="19"/>
      <c r="M138" s="263" t="str">
        <f ca="1">IFERROR(OFFSET(M138,-1,,1,1)+0.1,OFFSET(M138,-1,-1,1,1)&amp;".1")</f>
        <v>5.1</v>
      </c>
      <c r="N138" s="20" t="s">
        <v>505</v>
      </c>
      <c r="O138" s="20"/>
      <c r="P138" s="20"/>
      <c r="Q138" s="134"/>
      <c r="R138" s="127"/>
      <c r="S138" s="157">
        <f>CEILING((IF(J138="Yes", 0, IF(H138="-",AA138,AA138+AA138*VLOOKUP(H138,BUFFERS_BY_TYPE,2,FALSE)))) +
   (IF(J138="Yes", 0, IF(H138="-",AA138,AA138+AA138*VLOOKUP(H138,BUFFERS_BY_TYPE,2,FALSE))))*VLOOKUP($S$5, SALES_CALL_SCALE_ARRAY, 2,FALSE),0.25)</f>
        <v>0</v>
      </c>
      <c r="T138" s="158"/>
      <c r="U138" s="21">
        <v>0</v>
      </c>
      <c r="V138" s="21">
        <v>1</v>
      </c>
      <c r="W138" s="21">
        <v>0</v>
      </c>
      <c r="X138" s="156"/>
      <c r="Y138" s="157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0</v>
      </c>
      <c r="Z138" s="22"/>
      <c r="AA138" s="157">
        <f>Y138+Y138*VLOOKUP(I138,EXTRAS_ARRAY,2,FALSE)</f>
        <v>0</v>
      </c>
      <c r="AB138" s="20"/>
      <c r="AC138" s="34"/>
      <c r="AD138" s="23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>Error: Effort value is not defined or is invalid.</v>
      </c>
    </row>
    <row r="139" spans="1:30" ht="64" hidden="1" outlineLevel="2" x14ac:dyDescent="0.2">
      <c r="A139" s="86" t="s">
        <v>0</v>
      </c>
      <c r="B139" s="18"/>
      <c r="C139" s="78"/>
      <c r="D139" s="78"/>
      <c r="E139" s="78"/>
      <c r="F139" s="79"/>
      <c r="G139" s="19" t="s">
        <v>23</v>
      </c>
      <c r="H139" s="19" t="s">
        <v>23</v>
      </c>
      <c r="I139" s="20" t="s">
        <v>23</v>
      </c>
      <c r="J139" s="19" t="s">
        <v>23</v>
      </c>
      <c r="K139" s="35"/>
      <c r="L139" s="19"/>
      <c r="M139" s="263">
        <f ca="1">IFERROR(OFFSET(M139,-1,,1,1)+0.1,OFFSET(M139,-1,-1,1,1)&amp;".1")</f>
        <v>5.1999999999999993</v>
      </c>
      <c r="N139" s="20" t="s">
        <v>442</v>
      </c>
      <c r="O139" s="20"/>
      <c r="P139" s="20"/>
      <c r="Q139" s="134"/>
      <c r="R139" s="127"/>
      <c r="S139" s="157">
        <f>CEILING((IF(J139="Yes", 0, IF(H139="-",AA139,AA139+AA139*VLOOKUP(H139,BUFFERS_BY_TYPE,2,FALSE)))) +
   (IF(J139="Yes", 0, IF(H139="-",AA139,AA139+AA139*VLOOKUP(H139,BUFFERS_BY_TYPE,2,FALSE))))*VLOOKUP($S$5, SALES_CALL_SCALE_ARRAY, 2,FALSE),0.25)</f>
        <v>0</v>
      </c>
      <c r="T139" s="158"/>
      <c r="U139" s="21">
        <v>0</v>
      </c>
      <c r="V139" s="21">
        <v>1</v>
      </c>
      <c r="W139" s="21">
        <v>0</v>
      </c>
      <c r="X139" s="156"/>
      <c r="Y139" s="157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0</v>
      </c>
      <c r="Z139" s="22"/>
      <c r="AA139" s="157">
        <f>Y139+Y139*VLOOKUP(I139,EXTRAS_ARRAY,2,FALSE)</f>
        <v>0</v>
      </c>
      <c r="AB139" s="20"/>
      <c r="AC139" s="34"/>
      <c r="AD139" s="23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>Error: Effort value is not defined or is invalid.</v>
      </c>
    </row>
    <row r="140" spans="1:30" s="9" customFormat="1" ht="7.5" hidden="1" customHeight="1" outlineLevel="2" x14ac:dyDescent="0.2">
      <c r="A140" s="86" t="s">
        <v>132</v>
      </c>
      <c r="B140" s="15"/>
      <c r="C140" s="72"/>
      <c r="D140" s="72"/>
      <c r="E140" s="72"/>
      <c r="F140" s="72"/>
      <c r="M140" s="252"/>
      <c r="T140" s="15"/>
      <c r="X140" s="15"/>
      <c r="AB140" s="10"/>
      <c r="AC140" s="10"/>
      <c r="AD140" s="10"/>
    </row>
    <row r="141" spans="1:30" s="14" customFormat="1" ht="16" hidden="1" outlineLevel="1" collapsed="1" x14ac:dyDescent="0.2">
      <c r="A141" s="86" t="s">
        <v>100</v>
      </c>
      <c r="B141" s="18"/>
      <c r="C141" s="77"/>
      <c r="D141" s="77"/>
      <c r="E141" s="77"/>
      <c r="F141" s="76"/>
      <c r="G141" s="29"/>
      <c r="H141" s="29"/>
      <c r="I141" s="29"/>
      <c r="J141" s="29"/>
      <c r="K141" s="29"/>
      <c r="L141" s="17">
        <f ca="1">LOOKUP(1000,INDIRECT("L1:"&amp;CELL("address",INDIRECT("R[-1]C",FALSE))))+1</f>
        <v>6</v>
      </c>
      <c r="M141" s="274" t="s">
        <v>452</v>
      </c>
      <c r="N141" s="274"/>
      <c r="O141" s="5"/>
      <c r="P141" s="30"/>
      <c r="Q141" s="30"/>
      <c r="R141" s="30"/>
      <c r="S141" s="30"/>
      <c r="T141" s="155">
        <f>IF($S$6="Exclude", SUMIFS(S142:S144, J142:J144, "&lt;&gt;Yes", G142:G144, "&lt;&gt;Yes"), SUMIFS(S142:S144, J142:J144, "&lt;&gt;Yes"))</f>
        <v>0</v>
      </c>
      <c r="U141" s="30"/>
      <c r="V141" s="30"/>
      <c r="W141" s="30"/>
      <c r="X141" s="31"/>
      <c r="Y141" s="32"/>
      <c r="Z141" s="32"/>
      <c r="AA141" s="32"/>
      <c r="AB141" s="219"/>
      <c r="AC141" s="33"/>
      <c r="AD141" s="23" t="str">
        <f>IF(M141="", "Error: Task name cannot be empty.", "")</f>
        <v/>
      </c>
    </row>
    <row r="142" spans="1:30" s="12" customFormat="1" ht="1.5" hidden="1" customHeight="1" outlineLevel="2" x14ac:dyDescent="0.2">
      <c r="A142" s="86" t="s">
        <v>101</v>
      </c>
      <c r="B142" s="18"/>
      <c r="C142" s="77"/>
      <c r="D142" s="77"/>
      <c r="E142" s="77"/>
      <c r="F142" s="76"/>
      <c r="G142" s="29"/>
      <c r="H142" s="29"/>
      <c r="I142" s="29"/>
      <c r="J142" s="29"/>
      <c r="K142" s="29"/>
      <c r="L142" s="163">
        <f ca="1">L141</f>
        <v>6</v>
      </c>
      <c r="M142" s="164" t="s">
        <v>105</v>
      </c>
      <c r="N142" s="161"/>
      <c r="O142" s="162"/>
      <c r="P142" s="30"/>
      <c r="Q142" s="30"/>
      <c r="R142" s="30"/>
      <c r="S142" s="30"/>
      <c r="T142" s="155"/>
      <c r="U142" s="30"/>
      <c r="V142" s="30"/>
      <c r="W142" s="30"/>
      <c r="X142" s="31"/>
      <c r="Y142" s="32"/>
      <c r="Z142" s="32"/>
      <c r="AA142" s="32"/>
      <c r="AB142" s="33"/>
      <c r="AC142" s="33"/>
      <c r="AD142" s="23"/>
    </row>
    <row r="143" spans="1:30" ht="48" hidden="1" outlineLevel="2" x14ac:dyDescent="0.2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 t="str">
        <f ca="1">IFERROR(OFFSET(M143,-1,,1,1)+0.1,OFFSET(M143,-1,-1,1,1)&amp;".1")</f>
        <v>6.1</v>
      </c>
      <c r="N143" s="20" t="s">
        <v>504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0</v>
      </c>
      <c r="T143" s="158"/>
      <c r="U143" s="21">
        <v>0</v>
      </c>
      <c r="V143" s="21">
        <v>1</v>
      </c>
      <c r="W143" s="21">
        <v>0</v>
      </c>
      <c r="X143" s="156"/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0</v>
      </c>
      <c r="Z143" s="22"/>
      <c r="AA143" s="157">
        <f>Y143+Y143*VLOOKUP(I143,EXTRAS_ARRAY,2,FALSE)</f>
        <v>0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>Error: Effort value is not defined or is invalid.</v>
      </c>
    </row>
    <row r="144" spans="1:30" s="9" customFormat="1" ht="7.5" hidden="1" customHeight="1" outlineLevel="2" x14ac:dyDescent="0.2">
      <c r="A144" s="86" t="s">
        <v>132</v>
      </c>
      <c r="B144" s="15"/>
      <c r="C144" s="72"/>
      <c r="D144" s="72"/>
      <c r="E144" s="72"/>
      <c r="F144" s="72"/>
      <c r="M144" s="252"/>
      <c r="T144" s="15"/>
      <c r="X144" s="15"/>
      <c r="AB144" s="10"/>
      <c r="AC144" s="10"/>
      <c r="AD144" s="10"/>
    </row>
    <row r="145" spans="1:30" s="14" customFormat="1" ht="16" hidden="1" outlineLevel="1" x14ac:dyDescent="0.2">
      <c r="A145" s="86" t="s">
        <v>107</v>
      </c>
      <c r="B145" s="18"/>
      <c r="C145" s="77"/>
      <c r="D145" s="77"/>
      <c r="E145" s="77"/>
      <c r="F145" s="76"/>
      <c r="G145" s="170"/>
      <c r="H145" s="170"/>
      <c r="I145" s="170"/>
      <c r="J145" s="170"/>
      <c r="K145" s="170"/>
      <c r="L145" s="85" t="s">
        <v>109</v>
      </c>
      <c r="M145" s="292" t="s">
        <v>520</v>
      </c>
      <c r="N145" s="292"/>
      <c r="O145" s="80"/>
      <c r="P145" s="81"/>
      <c r="Q145" s="81"/>
      <c r="R145" s="81"/>
      <c r="S145" s="276">
        <f>SUMGROUP(ROW(), "T")</f>
        <v>0</v>
      </c>
      <c r="T145" s="276"/>
      <c r="U145" s="285"/>
      <c r="V145" s="285"/>
      <c r="W145" s="285"/>
      <c r="X145" s="82"/>
      <c r="Y145" s="83"/>
      <c r="Z145" s="83"/>
      <c r="AA145" s="83"/>
      <c r="AB145" s="221"/>
      <c r="AC145" s="84"/>
      <c r="AD145" s="23" t="str">
        <f>IF(M145="", "Error: Module name cannot be empty.", "")</f>
        <v/>
      </c>
    </row>
    <row r="146" spans="1:30" s="14" customFormat="1" ht="16" hidden="1" outlineLevel="1" collapsed="1" x14ac:dyDescent="0.2">
      <c r="A146" s="86" t="s">
        <v>100</v>
      </c>
      <c r="B146" s="18"/>
      <c r="C146" s="77"/>
      <c r="D146" s="77"/>
      <c r="E146" s="77"/>
      <c r="F146" s="76"/>
      <c r="G146" s="29"/>
      <c r="H146" s="29"/>
      <c r="I146" s="29"/>
      <c r="J146" s="29"/>
      <c r="K146" s="29"/>
      <c r="L146" s="17">
        <f ca="1">LOOKUP(1000,INDIRECT("L1:"&amp;CELL("address",INDIRECT("R[-1]C",FALSE))))+1</f>
        <v>7</v>
      </c>
      <c r="M146" s="274" t="s">
        <v>520</v>
      </c>
      <c r="N146" s="274"/>
      <c r="O146" s="5"/>
      <c r="P146" s="30"/>
      <c r="Q146" s="30"/>
      <c r="R146" s="30"/>
      <c r="S146" s="30"/>
      <c r="T146" s="155">
        <f>IF($S$6="Exclude", SUMIFS(S147:S150, J147:J150, "&lt;&gt;Yes", G147:G150, "&lt;&gt;Yes"), SUMIFS(S147:S150, J147:J150, "&lt;&gt;Yes"))</f>
        <v>0</v>
      </c>
      <c r="U146" s="30"/>
      <c r="V146" s="30"/>
      <c r="W146" s="30"/>
      <c r="X146" s="31"/>
      <c r="Y146" s="32"/>
      <c r="Z146" s="32"/>
      <c r="AA146" s="32"/>
      <c r="AB146" s="219"/>
      <c r="AC146" s="33"/>
      <c r="AD146" s="23" t="str">
        <f>IF(M146="", "Error: Task name cannot be empty.", "")</f>
        <v/>
      </c>
    </row>
    <row r="147" spans="1:30" s="12" customFormat="1" ht="1.5" hidden="1" customHeight="1" outlineLevel="2" x14ac:dyDescent="0.2">
      <c r="A147" s="86" t="s">
        <v>101</v>
      </c>
      <c r="B147" s="18"/>
      <c r="C147" s="77"/>
      <c r="D147" s="77"/>
      <c r="E147" s="77"/>
      <c r="F147" s="76"/>
      <c r="G147" s="29"/>
      <c r="H147" s="29"/>
      <c r="I147" s="29"/>
      <c r="J147" s="29"/>
      <c r="K147" s="29"/>
      <c r="L147" s="163">
        <f ca="1">L146</f>
        <v>7</v>
      </c>
      <c r="M147" s="164" t="s">
        <v>105</v>
      </c>
      <c r="N147" s="161"/>
      <c r="O147" s="162"/>
      <c r="P147" s="30"/>
      <c r="Q147" s="30"/>
      <c r="R147" s="30"/>
      <c r="S147" s="30"/>
      <c r="T147" s="155"/>
      <c r="U147" s="30"/>
      <c r="V147" s="30"/>
      <c r="W147" s="30"/>
      <c r="X147" s="31"/>
      <c r="Y147" s="32"/>
      <c r="Z147" s="32"/>
      <c r="AA147" s="32"/>
      <c r="AB147" s="33"/>
      <c r="AC147" s="33"/>
      <c r="AD147" s="23"/>
    </row>
    <row r="148" spans="1:30" ht="48" hidden="1" outlineLevel="2" x14ac:dyDescent="0.2">
      <c r="A148" s="86" t="s">
        <v>0</v>
      </c>
      <c r="B148" s="18"/>
      <c r="C148" s="78"/>
      <c r="D148" s="78"/>
      <c r="E148" s="78"/>
      <c r="F148" s="79"/>
      <c r="G148" s="19" t="s">
        <v>23</v>
      </c>
      <c r="H148" s="19" t="s">
        <v>23</v>
      </c>
      <c r="I148" s="20" t="s">
        <v>23</v>
      </c>
      <c r="J148" s="19" t="s">
        <v>23</v>
      </c>
      <c r="K148" s="35"/>
      <c r="L148" s="19"/>
      <c r="M148" s="263" t="str">
        <f ca="1">IFERROR(OFFSET(M148,-1,,1,1)+0.1,OFFSET(M148,-1,-1,1,1)&amp;".1")</f>
        <v>7.1</v>
      </c>
      <c r="N148" s="20" t="s">
        <v>521</v>
      </c>
      <c r="O148" s="20"/>
      <c r="P148" s="20"/>
      <c r="Q148" s="134"/>
      <c r="R148" s="127"/>
      <c r="S148" s="157">
        <f>CEILING((IF(J148="Yes", 0, IF(H148="-",AA148,AA148+AA148*VLOOKUP(H148,BUFFERS_BY_TYPE,2,FALSE)))) +
   (IF(J148="Yes", 0, IF(H148="-",AA148,AA148+AA148*VLOOKUP(H148,BUFFERS_BY_TYPE,2,FALSE))))*VLOOKUP($S$5, SALES_CALL_SCALE_ARRAY, 2,FALSE),0.25)</f>
        <v>0</v>
      </c>
      <c r="T148" s="158"/>
      <c r="U148" s="21">
        <v>0</v>
      </c>
      <c r="V148" s="21">
        <v>1</v>
      </c>
      <c r="W148" s="21">
        <v>0</v>
      </c>
      <c r="X148" s="156"/>
      <c r="Y148" s="157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0</v>
      </c>
      <c r="Z148" s="22"/>
      <c r="AA148" s="157">
        <f>Y148+Y148*VLOOKUP(I148,EXTRAS_ARRAY,2,FALSE)</f>
        <v>0</v>
      </c>
      <c r="AB148" s="20"/>
      <c r="AC148" s="34"/>
      <c r="AD148" s="23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>Error: Effort value is not defined or is invalid.</v>
      </c>
    </row>
    <row r="149" spans="1:30" ht="48" hidden="1" outlineLevel="2" x14ac:dyDescent="0.2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 t="s">
        <v>580</v>
      </c>
      <c r="L149" s="19"/>
      <c r="M149" s="263">
        <f ca="1">IFERROR(OFFSET(M149,-1,,1,1)+0.1,OFFSET(M149,-1,-1,1,1)&amp;".1")</f>
        <v>7.1999999999999993</v>
      </c>
      <c r="N149" s="20" t="s">
        <v>522</v>
      </c>
      <c r="O149" s="20"/>
      <c r="P149" s="20"/>
      <c r="Q149" s="134"/>
      <c r="R149" s="127"/>
      <c r="S149" s="157">
        <f>CEILING((IF(J149="Yes", 0, IF(H149="-",AA149,AA149+AA149*VLOOKUP(H149,BUFFERS_BY_TYPE,2,FALSE)))) +
   (IF(J149="Yes", 0, IF(H149="-",AA149,AA149+AA149*VLOOKUP(H149,BUFFERS_BY_TYPE,2,FALSE))))*VLOOKUP($S$5, SALES_CALL_SCALE_ARRAY, 2,FALSE),0.25)</f>
        <v>0</v>
      </c>
      <c r="T149" s="158"/>
      <c r="U149" s="21">
        <v>0</v>
      </c>
      <c r="V149" s="21">
        <v>1</v>
      </c>
      <c r="W149" s="21">
        <v>0</v>
      </c>
      <c r="X149" s="156"/>
      <c r="Y149" s="157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0</v>
      </c>
      <c r="Z149" s="22"/>
      <c r="AA149" s="157">
        <f>Y149+Y149*VLOOKUP(I149,EXTRAS_ARRAY,2,FALSE)</f>
        <v>0</v>
      </c>
      <c r="AB149" s="20"/>
      <c r="AC149" s="34"/>
      <c r="AD149" s="23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>Error: Effort value is not defined or is invalid.</v>
      </c>
    </row>
    <row r="150" spans="1:30" s="9" customFormat="1" ht="7.5" hidden="1" customHeight="1" outlineLevel="2" x14ac:dyDescent="0.2">
      <c r="A150" s="86" t="s">
        <v>132</v>
      </c>
      <c r="B150" s="15"/>
      <c r="C150" s="72"/>
      <c r="D150" s="72"/>
      <c r="E150" s="72"/>
      <c r="F150" s="72"/>
      <c r="M150" s="252"/>
      <c r="T150" s="15"/>
      <c r="X150" s="15"/>
      <c r="AB150" s="10"/>
      <c r="AC150" s="10"/>
      <c r="AD150" s="10"/>
    </row>
    <row r="151" spans="1:30" s="9" customFormat="1" ht="3" hidden="1" customHeight="1" outlineLevel="1" x14ac:dyDescent="0.2">
      <c r="A151" s="86" t="s">
        <v>102</v>
      </c>
      <c r="C151" s="72"/>
      <c r="D151" s="72"/>
      <c r="E151" s="72"/>
      <c r="F151" s="72"/>
      <c r="G151" s="25"/>
      <c r="H151" s="25"/>
      <c r="I151" s="25"/>
      <c r="J151" s="25"/>
      <c r="K151" s="25"/>
      <c r="L151" s="56"/>
      <c r="M151" s="264"/>
      <c r="N151" s="57"/>
      <c r="O151" s="57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7"/>
      <c r="AC151" s="57"/>
      <c r="AD151" s="10"/>
    </row>
    <row r="152" spans="1:30" s="14" customFormat="1" ht="19" x14ac:dyDescent="0.2">
      <c r="A152" s="86" t="s">
        <v>98</v>
      </c>
      <c r="B152" s="12"/>
      <c r="C152" s="73"/>
      <c r="D152" s="73"/>
      <c r="E152" s="73"/>
      <c r="F152" s="72"/>
      <c r="G152" s="52"/>
      <c r="H152" s="52"/>
      <c r="I152" s="52"/>
      <c r="J152" s="52"/>
      <c r="K152" s="52"/>
      <c r="L152" s="52" t="s">
        <v>70</v>
      </c>
      <c r="M152" s="261" t="s">
        <v>74</v>
      </c>
      <c r="N152" s="53"/>
      <c r="O152" s="54"/>
      <c r="P152" s="55"/>
      <c r="Q152" s="55"/>
      <c r="R152" s="55"/>
      <c r="S152" s="275">
        <f>CEILING(SUMIF(J153:J194, "&lt;&gt;Yes", T153:T194),1)</f>
        <v>8</v>
      </c>
      <c r="T152" s="275"/>
      <c r="U152" s="55"/>
      <c r="V152" s="55"/>
      <c r="W152" s="55"/>
      <c r="X152" s="55"/>
      <c r="Y152" s="55"/>
      <c r="Z152" s="55"/>
      <c r="AA152" s="55"/>
      <c r="AB152" s="55"/>
      <c r="AC152" s="55"/>
      <c r="AD152" s="13"/>
    </row>
    <row r="153" spans="1:30" s="9" customFormat="1" ht="3" hidden="1" customHeight="1" outlineLevel="1" x14ac:dyDescent="0.2">
      <c r="A153" s="86" t="s">
        <v>99</v>
      </c>
      <c r="B153" s="15"/>
      <c r="C153" s="72"/>
      <c r="D153" s="72"/>
      <c r="E153" s="72"/>
      <c r="F153" s="72"/>
      <c r="G153" s="25"/>
      <c r="H153" s="25"/>
      <c r="I153" s="25"/>
      <c r="J153" s="25"/>
      <c r="K153" s="25"/>
      <c r="L153" s="26">
        <v>0</v>
      </c>
      <c r="M153" s="262"/>
      <c r="N153" s="25"/>
      <c r="O153" s="25"/>
      <c r="P153" s="25"/>
      <c r="Q153" s="25"/>
      <c r="R153" s="25"/>
      <c r="S153" s="25"/>
      <c r="T153" s="27"/>
      <c r="U153" s="25"/>
      <c r="V153" s="25"/>
      <c r="W153" s="25"/>
      <c r="X153" s="27"/>
      <c r="Y153" s="25"/>
      <c r="Z153" s="25"/>
      <c r="AA153" s="25"/>
      <c r="AB153" s="28"/>
      <c r="AC153" s="28"/>
      <c r="AD153" s="10"/>
    </row>
    <row r="154" spans="1:30" s="14" customFormat="1" ht="16" hidden="1" outlineLevel="1" x14ac:dyDescent="0.2">
      <c r="A154" s="86" t="s">
        <v>107</v>
      </c>
      <c r="B154" s="18"/>
      <c r="C154" s="77"/>
      <c r="D154" s="77"/>
      <c r="E154" s="77"/>
      <c r="F154" s="76"/>
      <c r="G154" s="170"/>
      <c r="H154" s="170"/>
      <c r="I154" s="170"/>
      <c r="J154" s="170"/>
      <c r="K154" s="170"/>
      <c r="L154" s="85" t="s">
        <v>109</v>
      </c>
      <c r="M154" s="292" t="s">
        <v>581</v>
      </c>
      <c r="N154" s="292"/>
      <c r="O154" s="80"/>
      <c r="P154" s="81"/>
      <c r="Q154" s="81"/>
      <c r="R154" s="81"/>
      <c r="S154" s="276">
        <f>SUMGROUP(ROW(), "T")</f>
        <v>7</v>
      </c>
      <c r="T154" s="276"/>
      <c r="U154" s="285"/>
      <c r="V154" s="285"/>
      <c r="W154" s="285"/>
      <c r="X154" s="82"/>
      <c r="Y154" s="83"/>
      <c r="Z154" s="83"/>
      <c r="AA154" s="83"/>
      <c r="AB154" s="221"/>
      <c r="AC154" s="84"/>
      <c r="AD154" s="23" t="str">
        <f>IF(M154="", "Error: Module name cannot be empty.", "")</f>
        <v/>
      </c>
    </row>
    <row r="155" spans="1:30" s="14" customFormat="1" ht="16" outlineLevel="1" x14ac:dyDescent="0.2">
      <c r="A155" s="86" t="s">
        <v>100</v>
      </c>
      <c r="B155" s="18"/>
      <c r="C155" s="77"/>
      <c r="D155" s="77"/>
      <c r="E155" s="77"/>
      <c r="F155" s="76"/>
      <c r="G155" s="29"/>
      <c r="H155" s="29"/>
      <c r="I155" s="29"/>
      <c r="J155" s="29"/>
      <c r="K155" s="29"/>
      <c r="L155" s="17">
        <f ca="1">LOOKUP(1000,INDIRECT("L1:"&amp;CELL("address",INDIRECT("R[-1]C",FALSE))))+1</f>
        <v>1</v>
      </c>
      <c r="M155" s="274" t="s">
        <v>108</v>
      </c>
      <c r="N155" s="274"/>
      <c r="O155" s="5"/>
      <c r="P155" s="30"/>
      <c r="Q155" s="30"/>
      <c r="R155" s="30"/>
      <c r="S155" s="30"/>
      <c r="T155" s="155">
        <f>IF($S$6="Exclude", SUMIFS(S156:S159, J156:J159, "&lt;&gt;Yes", G156:G159, "&lt;&gt;Yes"), SUMIFS(S156:S159, J156:J159, "&lt;&gt;Yes"))</f>
        <v>7</v>
      </c>
      <c r="U155" s="30"/>
      <c r="V155" s="30"/>
      <c r="W155" s="30"/>
      <c r="X155" s="31"/>
      <c r="Y155" s="32"/>
      <c r="Z155" s="32"/>
      <c r="AA155" s="32"/>
      <c r="AB155" s="219" t="s">
        <v>443</v>
      </c>
      <c r="AC155" s="33"/>
      <c r="AD155" s="23" t="str">
        <f>IF(M155="", "Error: Task name cannot be empty.", "")</f>
        <v/>
      </c>
    </row>
    <row r="156" spans="1:30" s="12" customFormat="1" ht="1.5" customHeight="1" outlineLevel="2" x14ac:dyDescent="0.2">
      <c r="A156" s="86" t="s">
        <v>101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63">
        <f ca="1">L155</f>
        <v>1</v>
      </c>
      <c r="M156" s="164" t="s">
        <v>105</v>
      </c>
      <c r="N156" s="161"/>
      <c r="O156" s="162"/>
      <c r="P156" s="30"/>
      <c r="Q156" s="30"/>
      <c r="R156" s="30"/>
      <c r="S156" s="30"/>
      <c r="T156" s="155"/>
      <c r="U156" s="30"/>
      <c r="V156" s="30"/>
      <c r="W156" s="30"/>
      <c r="X156" s="31"/>
      <c r="Y156" s="32"/>
      <c r="Z156" s="32"/>
      <c r="AA156" s="32"/>
      <c r="AB156" s="33"/>
      <c r="AC156" s="33"/>
      <c r="AD156" s="23"/>
    </row>
    <row r="157" spans="1:30" ht="16" outlineLevel="2" x14ac:dyDescent="0.2">
      <c r="A157" s="86" t="s">
        <v>0</v>
      </c>
      <c r="B157" s="18"/>
      <c r="C157" s="78"/>
      <c r="D157" s="78"/>
      <c r="E157" s="78"/>
      <c r="F157" s="79"/>
      <c r="G157" s="19" t="s">
        <v>23</v>
      </c>
      <c r="H157" s="19" t="s">
        <v>23</v>
      </c>
      <c r="I157" s="20" t="s">
        <v>23</v>
      </c>
      <c r="J157" s="19" t="s">
        <v>23</v>
      </c>
      <c r="K157" s="35"/>
      <c r="L157" s="19"/>
      <c r="M157" s="263" t="str">
        <f ca="1">IFERROR(OFFSET(M157,-1,,1,1)+0.1,OFFSET(M157,-1,-1,1,1)&amp;".1")</f>
        <v>1.1</v>
      </c>
      <c r="N157" s="20" t="s">
        <v>612</v>
      </c>
      <c r="O157" s="20" t="s">
        <v>11</v>
      </c>
      <c r="P157" s="20"/>
      <c r="Q157" s="134"/>
      <c r="R157" s="127"/>
      <c r="S157" s="157">
        <f>CEILING((IF(J157="Yes", 0, IF(H157="-",AA157,AA157+AA157*VLOOKUP(H157,BUFFERS_BY_TYPE,2,FALSE)))) +
   (IF(J157="Yes", 0, IF(H157="-",AA157,AA157+AA157*VLOOKUP(H157,BUFFERS_BY_TYPE,2,FALSE))))*VLOOKUP($S$5, SALES_CALL_SCALE_ARRAY, 2,FALSE),0.25)</f>
        <v>3</v>
      </c>
      <c r="T157" s="158"/>
      <c r="U157" s="21">
        <v>0</v>
      </c>
      <c r="V157" s="21">
        <v>1</v>
      </c>
      <c r="W157" s="21">
        <v>0</v>
      </c>
      <c r="X157" s="156">
        <v>3</v>
      </c>
      <c r="Y157" s="157">
        <f>CEILING((IF(P157=AS_DEV_EFFORT, DEV_EFFORT*Q157%,
                           IF(P157=AS_DURATION_EFFORT, (MANUAL_DURATION*5)*Q157%,
                                    (IF(Q157&lt;=1,X157,
                                          IF(SUM(U157:W157)=0,(Q157*X157),
                                               (((Q157*U157)*(X157+(X157*EXTRA_FOR_H)))+
                                               ((Q157*V157)*X157)+
                                               ((Q157*W157)*(X157-(X157*LESS_FOR_L)))
                                    )*IF(R157=0,1,R157))))))+Z157), 0.25)</f>
        <v>3</v>
      </c>
      <c r="Z157" s="22"/>
      <c r="AA157" s="157">
        <f>Y157+Y157*VLOOKUP(I157,EXTRAS_ARRAY,2,FALSE)</f>
        <v>3</v>
      </c>
      <c r="AB157" s="20" t="s">
        <v>622</v>
      </c>
      <c r="AC157" s="34"/>
      <c r="AD157" s="23" t="str">
        <f>IF(J157&lt;&gt;"Yes",
IF(S157&lt;=0,"Error: Effort value is not defined or is invalid.",
IF(AND(SUM(U157:W157)&gt;0,SUM(U157:W157)&lt;&gt;1),"Error: Complexity % distribution should sum to 100%.",
IF(AND(P157=AS_DEV_EFFORT,X157&lt;&gt;0),"Error: PDs should not be defined when defining as dev effort %.",
IF(AND(P157=AS_DURATION_EFFORT,X157&lt;&gt;0),"Error: PDs should not be defined when defining as duration effort %.","")))))</f>
        <v/>
      </c>
    </row>
    <row r="158" spans="1:30" ht="16" outlineLevel="2" x14ac:dyDescent="0.2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>
        <f ca="1">IFERROR(OFFSET(M158,-1,,1,1)+0.1,OFFSET(M158,-1,-1,1,1)&amp;".1")</f>
        <v>1.2000000000000002</v>
      </c>
      <c r="N158" s="20" t="s">
        <v>613</v>
      </c>
      <c r="O158" s="20" t="s">
        <v>11</v>
      </c>
      <c r="P158" s="20"/>
      <c r="Q158" s="134"/>
      <c r="R158" s="127"/>
      <c r="S158" s="157">
        <f>CEILING((IF(J158="Yes", 0, IF(H158="-",AA158,AA158+AA158*VLOOKUP(H158,BUFFERS_BY_TYPE,2,FALSE)))) +
   (IF(J158="Yes", 0, IF(H158="-",AA158,AA158+AA158*VLOOKUP(H158,BUFFERS_BY_TYPE,2,FALSE))))*VLOOKUP($S$5, SALES_CALL_SCALE_ARRAY, 2,FALSE),0.25)</f>
        <v>4</v>
      </c>
      <c r="T158" s="158"/>
      <c r="U158" s="21">
        <v>0</v>
      </c>
      <c r="V158" s="21">
        <v>1</v>
      </c>
      <c r="W158" s="21">
        <v>0</v>
      </c>
      <c r="X158" s="156">
        <v>4</v>
      </c>
      <c r="Y158" s="157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4</v>
      </c>
      <c r="Z158" s="22"/>
      <c r="AA158" s="157">
        <f>Y158+Y158*VLOOKUP(I158,EXTRAS_ARRAY,2,FALSE)</f>
        <v>4</v>
      </c>
      <c r="AB158" s="20"/>
      <c r="AC158" s="34"/>
      <c r="AD158" s="23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s="9" customFormat="1" ht="7.5" customHeight="1" outlineLevel="2" x14ac:dyDescent="0.2">
      <c r="A159" s="86" t="s">
        <v>132</v>
      </c>
      <c r="B159" s="15"/>
      <c r="C159" s="72"/>
      <c r="D159" s="72"/>
      <c r="E159" s="72"/>
      <c r="F159" s="72"/>
      <c r="M159" s="252"/>
      <c r="T159" s="15"/>
      <c r="X159" s="15"/>
      <c r="AB159" s="10"/>
      <c r="AC159" s="10"/>
      <c r="AD159" s="10"/>
    </row>
    <row r="160" spans="1:30" s="14" customFormat="1" ht="16" hidden="1" outlineLevel="1" collapsed="1" x14ac:dyDescent="0.2">
      <c r="A160" s="86" t="s">
        <v>100</v>
      </c>
      <c r="B160" s="18"/>
      <c r="C160" s="77"/>
      <c r="D160" s="77"/>
      <c r="E160" s="77"/>
      <c r="F160" s="76"/>
      <c r="G160" s="29"/>
      <c r="H160" s="29"/>
      <c r="I160" s="29"/>
      <c r="J160" s="29"/>
      <c r="K160" s="29"/>
      <c r="L160" s="17">
        <f ca="1">LOOKUP(1000,INDIRECT("L1:"&amp;CELL("address",INDIRECT("R[-1]C",FALSE))))+1</f>
        <v>2</v>
      </c>
      <c r="M160" s="274" t="s">
        <v>582</v>
      </c>
      <c r="N160" s="274"/>
      <c r="O160" s="5"/>
      <c r="P160" s="30"/>
      <c r="Q160" s="30"/>
      <c r="R160" s="30"/>
      <c r="S160" s="30"/>
      <c r="T160" s="155">
        <f>IF($S$6="Exclude", SUMIFS(S161:S164, J161:J164, "&lt;&gt;Yes", G161:G164, "&lt;&gt;Yes"), SUMIFS(S161:S164, J161:J164, "&lt;&gt;Yes"))</f>
        <v>0</v>
      </c>
      <c r="U160" s="30"/>
      <c r="V160" s="30"/>
      <c r="W160" s="30"/>
      <c r="X160" s="31"/>
      <c r="Y160" s="32"/>
      <c r="Z160" s="32"/>
      <c r="AA160" s="32"/>
      <c r="AB160" s="219"/>
      <c r="AC160" s="33"/>
      <c r="AD160" s="23" t="str">
        <f>IF(M160="", "Error: Task name cannot be empty.", "")</f>
        <v/>
      </c>
    </row>
    <row r="161" spans="1:30" s="12" customFormat="1" ht="1.5" hidden="1" customHeight="1" outlineLevel="2" x14ac:dyDescent="0.2">
      <c r="A161" s="86" t="s">
        <v>101</v>
      </c>
      <c r="B161" s="18"/>
      <c r="C161" s="77"/>
      <c r="D161" s="77"/>
      <c r="E161" s="77"/>
      <c r="F161" s="76"/>
      <c r="G161" s="29"/>
      <c r="H161" s="29"/>
      <c r="I161" s="29"/>
      <c r="J161" s="29"/>
      <c r="K161" s="29"/>
      <c r="L161" s="163">
        <f ca="1">L160</f>
        <v>2</v>
      </c>
      <c r="M161" s="164" t="s">
        <v>105</v>
      </c>
      <c r="N161" s="161"/>
      <c r="O161" s="162"/>
      <c r="P161" s="30"/>
      <c r="Q161" s="30"/>
      <c r="R161" s="30"/>
      <c r="S161" s="30"/>
      <c r="T161" s="155"/>
      <c r="U161" s="30"/>
      <c r="V161" s="30"/>
      <c r="W161" s="30"/>
      <c r="X161" s="31"/>
      <c r="Y161" s="32"/>
      <c r="Z161" s="32"/>
      <c r="AA161" s="32"/>
      <c r="AB161" s="33"/>
      <c r="AC161" s="33"/>
      <c r="AD161" s="23"/>
    </row>
    <row r="162" spans="1:30" ht="48" hidden="1" outlineLevel="2" x14ac:dyDescent="0.2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 t="str">
        <f ca="1">IFERROR(OFFSET(M162,-1,,1,1)+0.1,OFFSET(M162,-1,-1,1,1)&amp;".1")</f>
        <v>2.1</v>
      </c>
      <c r="N162" s="20" t="s">
        <v>583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0</v>
      </c>
      <c r="T162" s="158"/>
      <c r="U162" s="21">
        <v>0</v>
      </c>
      <c r="V162" s="21">
        <v>1</v>
      </c>
      <c r="W162" s="21">
        <v>0</v>
      </c>
      <c r="X162" s="156"/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0</v>
      </c>
      <c r="Z162" s="22"/>
      <c r="AA162" s="157">
        <f>Y162+Y162*VLOOKUP(I162,EXTRAS_ARRAY,2,FALSE)</f>
        <v>0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>Error: Effort value is not defined or is invalid.</v>
      </c>
    </row>
    <row r="163" spans="1:30" ht="48" hidden="1" outlineLevel="2" x14ac:dyDescent="0.2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2.2000000000000002</v>
      </c>
      <c r="N163" s="20" t="s">
        <v>584</v>
      </c>
      <c r="O163" s="20"/>
      <c r="P163" s="20" t="s">
        <v>585</v>
      </c>
      <c r="Q163" s="134">
        <f>Total_Use_Cases</f>
        <v>0</v>
      </c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0</v>
      </c>
      <c r="T163" s="158"/>
      <c r="U163" s="21">
        <v>0</v>
      </c>
      <c r="V163" s="21">
        <v>1</v>
      </c>
      <c r="W163" s="21">
        <v>0</v>
      </c>
      <c r="X163" s="156"/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0</v>
      </c>
      <c r="Z163" s="22"/>
      <c r="AA163" s="157">
        <f>Y163+Y163*VLOOKUP(I163,EXTRAS_ARRAY,2,FALSE)</f>
        <v>0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>Error: Effort value is not defined or is invalid.</v>
      </c>
    </row>
    <row r="164" spans="1:30" s="9" customFormat="1" ht="7.5" hidden="1" customHeight="1" outlineLevel="2" x14ac:dyDescent="0.2">
      <c r="A164" s="86" t="s">
        <v>132</v>
      </c>
      <c r="B164" s="15"/>
      <c r="C164" s="72"/>
      <c r="D164" s="72"/>
      <c r="E164" s="72"/>
      <c r="F164" s="72"/>
      <c r="M164" s="252"/>
      <c r="T164" s="15"/>
      <c r="X164" s="15"/>
      <c r="AB164" s="10"/>
      <c r="AC164" s="10"/>
      <c r="AD164" s="10"/>
    </row>
    <row r="165" spans="1:30" s="14" customFormat="1" ht="16" hidden="1" outlineLevel="1" x14ac:dyDescent="0.2">
      <c r="A165" s="86" t="s">
        <v>107</v>
      </c>
      <c r="B165" s="18"/>
      <c r="C165" s="77"/>
      <c r="D165" s="77"/>
      <c r="E165" s="77"/>
      <c r="F165" s="76"/>
      <c r="G165" s="170"/>
      <c r="H165" s="170"/>
      <c r="I165" s="170"/>
      <c r="J165" s="170"/>
      <c r="K165" s="170"/>
      <c r="L165" s="85" t="s">
        <v>109</v>
      </c>
      <c r="M165" s="292" t="s">
        <v>586</v>
      </c>
      <c r="N165" s="292"/>
      <c r="O165" s="80"/>
      <c r="P165" s="81"/>
      <c r="Q165" s="81"/>
      <c r="R165" s="81"/>
      <c r="S165" s="276">
        <f>SUMGROUP(ROW(), "T")</f>
        <v>0.5</v>
      </c>
      <c r="T165" s="276"/>
      <c r="U165" s="285"/>
      <c r="V165" s="285"/>
      <c r="W165" s="285"/>
      <c r="X165" s="82"/>
      <c r="Y165" s="83"/>
      <c r="Z165" s="83"/>
      <c r="AA165" s="83"/>
      <c r="AB165" s="221"/>
      <c r="AC165" s="84"/>
      <c r="AD165" s="23" t="str">
        <f>IF(M165="", "Error: Module name cannot be empty.", "")</f>
        <v/>
      </c>
    </row>
    <row r="166" spans="1:30" s="14" customFormat="1" ht="16" hidden="1" outlineLevel="1" collapsed="1" x14ac:dyDescent="0.2">
      <c r="A166" s="86" t="s">
        <v>100</v>
      </c>
      <c r="B166" s="18"/>
      <c r="C166" s="77"/>
      <c r="D166" s="77"/>
      <c r="E166" s="77"/>
      <c r="F166" s="76"/>
      <c r="G166" s="29"/>
      <c r="H166" s="29"/>
      <c r="I166" s="29"/>
      <c r="J166" s="29"/>
      <c r="K166" s="29"/>
      <c r="L166" s="17">
        <f ca="1">LOOKUP(1000,INDIRECT("L1:"&amp;CELL("address",INDIRECT("R[-1]C",FALSE))))+1</f>
        <v>3</v>
      </c>
      <c r="M166" s="274" t="s">
        <v>468</v>
      </c>
      <c r="N166" s="274"/>
      <c r="O166" s="5"/>
      <c r="P166" s="30"/>
      <c r="Q166" s="30"/>
      <c r="R166" s="30"/>
      <c r="S166" s="30"/>
      <c r="T166" s="155">
        <f>IF($S$6="Exclude", SUMIFS(S167:S172, J167:J172, "&lt;&gt;Yes", G167:G172, "&lt;&gt;Yes"), SUMIFS(S167:S172, J167:J172, "&lt;&gt;Yes"))</f>
        <v>0</v>
      </c>
      <c r="U166" s="30"/>
      <c r="V166" s="30"/>
      <c r="W166" s="30"/>
      <c r="X166" s="31"/>
      <c r="Y166" s="32"/>
      <c r="Z166" s="32"/>
      <c r="AA166" s="32"/>
      <c r="AB166" s="219"/>
      <c r="AC166" s="33"/>
      <c r="AD166" s="23" t="str">
        <f>IF(M166="", "Error: Task name cannot be empty.", "")</f>
        <v/>
      </c>
    </row>
    <row r="167" spans="1:30" s="12" customFormat="1" ht="1.5" hidden="1" customHeight="1" outlineLevel="2" x14ac:dyDescent="0.2">
      <c r="A167" s="86" t="s">
        <v>101</v>
      </c>
      <c r="B167" s="18"/>
      <c r="C167" s="77"/>
      <c r="D167" s="77"/>
      <c r="E167" s="77"/>
      <c r="F167" s="76"/>
      <c r="G167" s="29"/>
      <c r="H167" s="29"/>
      <c r="I167" s="29"/>
      <c r="J167" s="29"/>
      <c r="K167" s="29"/>
      <c r="L167" s="163">
        <f ca="1">L166</f>
        <v>3</v>
      </c>
      <c r="M167" s="164" t="s">
        <v>105</v>
      </c>
      <c r="N167" s="161"/>
      <c r="O167" s="162"/>
      <c r="P167" s="30"/>
      <c r="Q167" s="30"/>
      <c r="R167" s="30"/>
      <c r="S167" s="30"/>
      <c r="T167" s="155"/>
      <c r="U167" s="30"/>
      <c r="V167" s="30"/>
      <c r="W167" s="30"/>
      <c r="X167" s="31"/>
      <c r="Y167" s="32"/>
      <c r="Z167" s="32"/>
      <c r="AA167" s="32"/>
      <c r="AB167" s="33"/>
      <c r="AC167" s="33"/>
      <c r="AD167" s="23"/>
    </row>
    <row r="168" spans="1:30" ht="48" hidden="1" outlineLevel="2" x14ac:dyDescent="0.2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 t="str">
        <f ca="1">IFERROR(OFFSET(M168,-1,,1,1)+0.1,OFFSET(M168,-1,-1,1,1)&amp;".1")</f>
        <v>3.1</v>
      </c>
      <c r="N168" s="20" t="s">
        <v>486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0</v>
      </c>
      <c r="T168" s="158"/>
      <c r="U168" s="21">
        <v>0</v>
      </c>
      <c r="V168" s="21">
        <v>1</v>
      </c>
      <c r="W168" s="21">
        <v>0</v>
      </c>
      <c r="X168" s="156"/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0</v>
      </c>
      <c r="Z168" s="22"/>
      <c r="AA168" s="157">
        <f>Y168+Y168*VLOOKUP(I168,EXTRAS_ARRAY,2,FALSE)</f>
        <v>0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>Error: Effort value is not defined or is invalid.</v>
      </c>
    </row>
    <row r="169" spans="1:30" ht="96" hidden="1" outlineLevel="2" x14ac:dyDescent="0.2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 t="s">
        <v>490</v>
      </c>
      <c r="L169" s="19"/>
      <c r="M169" s="263">
        <f ca="1">IFERROR(OFFSET(M169,-1,,1,1)+0.1,OFFSET(M169,-1,-1,1,1)&amp;".1")</f>
        <v>3.2</v>
      </c>
      <c r="N169" s="20" t="s">
        <v>487</v>
      </c>
      <c r="O169" s="20" t="s">
        <v>587</v>
      </c>
      <c r="P169" s="20">
        <f>Total_Use_Cases * R169</f>
        <v>0</v>
      </c>
      <c r="Q169" s="134">
        <f>Total_Use_Cases</f>
        <v>0</v>
      </c>
      <c r="R169" s="127">
        <v>5</v>
      </c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0</v>
      </c>
      <c r="T169" s="158"/>
      <c r="U169" s="21">
        <v>0</v>
      </c>
      <c r="V169" s="21">
        <v>1</v>
      </c>
      <c r="W169" s="21">
        <v>0</v>
      </c>
      <c r="X169" s="156"/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0</v>
      </c>
      <c r="Z169" s="22"/>
      <c r="AA169" s="157">
        <f>Y169+Y169*VLOOKUP(I169,EXTRAS_ARRAY,2,FALSE)</f>
        <v>0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>Error: Effort value is not defined or is invalid.</v>
      </c>
    </row>
    <row r="170" spans="1:30" ht="96" hidden="1" outlineLevel="2" x14ac:dyDescent="0.2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 t="s">
        <v>491</v>
      </c>
      <c r="L170" s="19"/>
      <c r="M170" s="263">
        <f ca="1">IFERROR(OFFSET(M170,-1,,1,1)+0.1,OFFSET(M170,-1,-1,1,1)&amp;".1")</f>
        <v>3.3000000000000003</v>
      </c>
      <c r="N170" s="20" t="s">
        <v>488</v>
      </c>
      <c r="O170" s="20" t="s">
        <v>587</v>
      </c>
      <c r="P170" s="20">
        <f>Total_Use_Cases * R170</f>
        <v>0</v>
      </c>
      <c r="Q170" s="134">
        <f>Total_Use_Cases</f>
        <v>0</v>
      </c>
      <c r="R170" s="127">
        <v>5</v>
      </c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0</v>
      </c>
      <c r="T170" s="158"/>
      <c r="U170" s="21">
        <v>0</v>
      </c>
      <c r="V170" s="21">
        <v>1</v>
      </c>
      <c r="W170" s="21">
        <v>0</v>
      </c>
      <c r="X170" s="156"/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0</v>
      </c>
      <c r="Z170" s="22"/>
      <c r="AA170" s="157">
        <f>Y170+Y170*VLOOKUP(I170,EXTRAS_ARRAY,2,FALSE)</f>
        <v>0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>Error: Effort value is not defined or is invalid.</v>
      </c>
    </row>
    <row r="171" spans="1:30" ht="48" hidden="1" outlineLevel="2" x14ac:dyDescent="0.2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3.4000000000000004</v>
      </c>
      <c r="N171" s="20" t="s">
        <v>489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0</v>
      </c>
      <c r="T171" s="158"/>
      <c r="U171" s="21">
        <v>0</v>
      </c>
      <c r="V171" s="21">
        <v>1</v>
      </c>
      <c r="W171" s="21">
        <v>0</v>
      </c>
      <c r="X171" s="156"/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0</v>
      </c>
      <c r="Z171" s="22"/>
      <c r="AA171" s="157">
        <f>Y171+Y171*VLOOKUP(I171,EXTRAS_ARRAY,2,FALSE)</f>
        <v>0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>Error: Effort value is not defined or is invalid.</v>
      </c>
    </row>
    <row r="172" spans="1:30" s="9" customFormat="1" ht="7.5" hidden="1" customHeight="1" outlineLevel="2" x14ac:dyDescent="0.2">
      <c r="A172" s="86" t="s">
        <v>132</v>
      </c>
      <c r="B172" s="15"/>
      <c r="C172" s="72"/>
      <c r="D172" s="72"/>
      <c r="E172" s="72"/>
      <c r="F172" s="72"/>
      <c r="M172" s="252"/>
      <c r="T172" s="15"/>
      <c r="X172" s="15"/>
      <c r="AB172" s="10"/>
      <c r="AC172" s="10"/>
      <c r="AD172" s="10"/>
    </row>
    <row r="173" spans="1:30" s="14" customFormat="1" ht="16" hidden="1" outlineLevel="1" collapsed="1" x14ac:dyDescent="0.2">
      <c r="A173" s="86" t="s">
        <v>100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7">
        <f ca="1">LOOKUP(1000,INDIRECT("L1:"&amp;CELL("address",INDIRECT("R[-1]C",FALSE))))+1</f>
        <v>4</v>
      </c>
      <c r="M173" s="274" t="s">
        <v>506</v>
      </c>
      <c r="N173" s="274"/>
      <c r="O173" s="5"/>
      <c r="P173" s="30"/>
      <c r="Q173" s="30"/>
      <c r="R173" s="30"/>
      <c r="S173" s="30"/>
      <c r="T173" s="155">
        <f>IF($S$6="Exclude", SUMIFS(S174:S177, J174:J177, "&lt;&gt;Yes", G174:G177, "&lt;&gt;Yes"), SUMIFS(S174:S177, J174:J177, "&lt;&gt;Yes"))</f>
        <v>0</v>
      </c>
      <c r="U173" s="30"/>
      <c r="V173" s="30"/>
      <c r="W173" s="30"/>
      <c r="X173" s="31"/>
      <c r="Y173" s="32"/>
      <c r="Z173" s="32"/>
      <c r="AA173" s="32"/>
      <c r="AB173" s="219"/>
      <c r="AC173" s="33"/>
      <c r="AD173" s="23" t="str">
        <f>IF(M173="", "Error: Task name cannot be empty.", "")</f>
        <v/>
      </c>
    </row>
    <row r="174" spans="1:30" s="12" customFormat="1" ht="1.5" hidden="1" customHeight="1" outlineLevel="2" x14ac:dyDescent="0.2">
      <c r="A174" s="86" t="s">
        <v>101</v>
      </c>
      <c r="B174" s="18"/>
      <c r="C174" s="77"/>
      <c r="D174" s="77"/>
      <c r="E174" s="77"/>
      <c r="F174" s="76"/>
      <c r="G174" s="29"/>
      <c r="H174" s="29"/>
      <c r="I174" s="29"/>
      <c r="J174" s="29"/>
      <c r="K174" s="29"/>
      <c r="L174" s="163">
        <f ca="1">L173</f>
        <v>4</v>
      </c>
      <c r="M174" s="164" t="s">
        <v>105</v>
      </c>
      <c r="N174" s="161"/>
      <c r="O174" s="162"/>
      <c r="P174" s="30"/>
      <c r="Q174" s="30"/>
      <c r="R174" s="30"/>
      <c r="S174" s="30"/>
      <c r="T174" s="155"/>
      <c r="U174" s="30"/>
      <c r="V174" s="30"/>
      <c r="W174" s="30"/>
      <c r="X174" s="31"/>
      <c r="Y174" s="32"/>
      <c r="Z174" s="32"/>
      <c r="AA174" s="32"/>
      <c r="AB174" s="33"/>
      <c r="AC174" s="33"/>
      <c r="AD174" s="23"/>
    </row>
    <row r="175" spans="1:30" ht="48" hidden="1" outlineLevel="2" x14ac:dyDescent="0.2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 t="str">
        <f ca="1">IFERROR(OFFSET(M175,-1,,1,1)+0.1,OFFSET(M175,-1,-1,1,1)&amp;".1")</f>
        <v>4.1</v>
      </c>
      <c r="N175" s="20" t="s">
        <v>507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0</v>
      </c>
      <c r="T175" s="158"/>
      <c r="U175" s="21">
        <v>0</v>
      </c>
      <c r="V175" s="21">
        <v>1</v>
      </c>
      <c r="W175" s="21">
        <v>0</v>
      </c>
      <c r="X175" s="156"/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0</v>
      </c>
      <c r="Z175" s="22"/>
      <c r="AA175" s="157">
        <f>Y175+Y175*VLOOKUP(I175,EXTRAS_ARRAY,2,FALSE)</f>
        <v>0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>Error: Effort value is not defined or is invalid.</v>
      </c>
    </row>
    <row r="176" spans="1:30" ht="48" hidden="1" outlineLevel="2" x14ac:dyDescent="0.2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 t="s">
        <v>589</v>
      </c>
      <c r="L176" s="19"/>
      <c r="M176" s="263">
        <f ca="1">IFERROR(OFFSET(M176,-1,,1,1)+0.1,OFFSET(M176,-1,-1,1,1)&amp;".1")</f>
        <v>4.1999999999999993</v>
      </c>
      <c r="N176" s="20" t="s">
        <v>508</v>
      </c>
      <c r="O176" s="20" t="s">
        <v>588</v>
      </c>
      <c r="P176" s="251">
        <v>0.1</v>
      </c>
      <c r="Q176" s="134">
        <f>Total_Test_Cases * P176</f>
        <v>0</v>
      </c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0</v>
      </c>
      <c r="T176" s="158"/>
      <c r="U176" s="21">
        <v>0</v>
      </c>
      <c r="V176" s="21">
        <v>1</v>
      </c>
      <c r="W176" s="21">
        <v>0</v>
      </c>
      <c r="X176" s="156"/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0</v>
      </c>
      <c r="Z176" s="22"/>
      <c r="AA176" s="157">
        <f>Y176+Y176*VLOOKUP(I176,EXTRAS_ARRAY,2,FALSE)</f>
        <v>0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>Error: Effort value is not defined or is invalid.</v>
      </c>
    </row>
    <row r="177" spans="1:30" s="9" customFormat="1" ht="7.5" hidden="1" customHeight="1" outlineLevel="2" x14ac:dyDescent="0.2">
      <c r="A177" s="86" t="s">
        <v>132</v>
      </c>
      <c r="B177" s="15"/>
      <c r="C177" s="72"/>
      <c r="D177" s="72"/>
      <c r="E177" s="72"/>
      <c r="F177" s="72"/>
      <c r="M177" s="252"/>
      <c r="T177" s="15"/>
      <c r="X177" s="15"/>
      <c r="AB177" s="10"/>
      <c r="AC177" s="10"/>
      <c r="AD177" s="10"/>
    </row>
    <row r="178" spans="1:30" s="14" customFormat="1" ht="16" hidden="1" outlineLevel="1" collapsed="1" x14ac:dyDescent="0.2">
      <c r="A178" s="86" t="s">
        <v>100</v>
      </c>
      <c r="B178" s="18"/>
      <c r="C178" s="77"/>
      <c r="D178" s="77"/>
      <c r="E178" s="77"/>
      <c r="F178" s="76"/>
      <c r="G178" s="29"/>
      <c r="H178" s="29"/>
      <c r="I178" s="29"/>
      <c r="J178" s="29"/>
      <c r="K178" s="29"/>
      <c r="L178" s="17">
        <f ca="1">LOOKUP(1000,INDIRECT("L1:"&amp;CELL("address",INDIRECT("R[-1]C",FALSE))))+1</f>
        <v>5</v>
      </c>
      <c r="M178" s="274" t="s">
        <v>509</v>
      </c>
      <c r="N178" s="274"/>
      <c r="O178" s="5"/>
      <c r="P178" s="30"/>
      <c r="Q178" s="30"/>
      <c r="R178" s="30"/>
      <c r="S178" s="30"/>
      <c r="T178" s="155">
        <f>IF($S$6="Exclude", SUMIFS(S179:S184, J179:J184, "&lt;&gt;Yes", G179:G184, "&lt;&gt;Yes"), SUMIFS(S179:S184, J179:J184, "&lt;&gt;Yes"))</f>
        <v>0.5</v>
      </c>
      <c r="U178" s="30"/>
      <c r="V178" s="30"/>
      <c r="W178" s="30"/>
      <c r="X178" s="31"/>
      <c r="Y178" s="32"/>
      <c r="Z178" s="32"/>
      <c r="AA178" s="32"/>
      <c r="AB178" s="219"/>
      <c r="AC178" s="33"/>
      <c r="AD178" s="23" t="str">
        <f>IF(M178="", "Error: Task name cannot be empty.", "")</f>
        <v/>
      </c>
    </row>
    <row r="179" spans="1:30" s="12" customFormat="1" ht="1.5" hidden="1" customHeight="1" outlineLevel="2" x14ac:dyDescent="0.2">
      <c r="A179" s="86" t="s">
        <v>101</v>
      </c>
      <c r="B179" s="18"/>
      <c r="C179" s="77"/>
      <c r="D179" s="77"/>
      <c r="E179" s="77"/>
      <c r="F179" s="76"/>
      <c r="G179" s="29"/>
      <c r="H179" s="29"/>
      <c r="I179" s="29"/>
      <c r="J179" s="29"/>
      <c r="K179" s="29"/>
      <c r="L179" s="163">
        <f ca="1">L178</f>
        <v>5</v>
      </c>
      <c r="M179" s="164" t="s">
        <v>105</v>
      </c>
      <c r="N179" s="161"/>
      <c r="O179" s="162"/>
      <c r="P179" s="30"/>
      <c r="Q179" s="30"/>
      <c r="R179" s="30"/>
      <c r="S179" s="30"/>
      <c r="T179" s="155"/>
      <c r="U179" s="30"/>
      <c r="V179" s="30"/>
      <c r="W179" s="30"/>
      <c r="X179" s="31"/>
      <c r="Y179" s="32"/>
      <c r="Z179" s="32"/>
      <c r="AA179" s="32"/>
      <c r="AB179" s="33"/>
      <c r="AC179" s="33"/>
      <c r="AD179" s="23"/>
    </row>
    <row r="180" spans="1:30" ht="48" hidden="1" outlineLevel="2" x14ac:dyDescent="0.2">
      <c r="A180" s="86" t="s">
        <v>0</v>
      </c>
      <c r="B180" s="18"/>
      <c r="C180" s="78"/>
      <c r="D180" s="78"/>
      <c r="E180" s="78"/>
      <c r="F180" s="79"/>
      <c r="G180" s="19" t="s">
        <v>23</v>
      </c>
      <c r="H180" s="19" t="s">
        <v>23</v>
      </c>
      <c r="I180" s="20" t="s">
        <v>23</v>
      </c>
      <c r="J180" s="19" t="s">
        <v>23</v>
      </c>
      <c r="K180" s="35"/>
      <c r="L180" s="19"/>
      <c r="M180" s="263" t="str">
        <f ca="1">IFERROR(OFFSET(M180,-1,,1,1)+0.1,OFFSET(M180,-1,-1,1,1)&amp;".1")</f>
        <v>5.1</v>
      </c>
      <c r="N180" s="20" t="s">
        <v>510</v>
      </c>
      <c r="O180" s="20"/>
      <c r="P180" s="20" t="s">
        <v>514</v>
      </c>
      <c r="Q180" s="134">
        <v>2</v>
      </c>
      <c r="R180" s="127"/>
      <c r="S180" s="157">
        <f>CEILING((IF(J180="Yes", 0, IF(H180="-",AA180,AA180+AA180*VLOOKUP(H180,BUFFERS_BY_TYPE,2,FALSE)))) +
   (IF(J180="Yes", 0, IF(H180="-",AA180,AA180+AA180*VLOOKUP(H180,BUFFERS_BY_TYPE,2,FALSE))))*VLOOKUP($S$5, SALES_CALL_SCALE_ARRAY, 2,FALSE),0.25)</f>
        <v>0</v>
      </c>
      <c r="T180" s="158"/>
      <c r="U180" s="21">
        <v>0</v>
      </c>
      <c r="V180" s="21">
        <v>1</v>
      </c>
      <c r="W180" s="21">
        <v>0</v>
      </c>
      <c r="X180" s="156"/>
      <c r="Y180" s="157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0</v>
      </c>
      <c r="Z180" s="22"/>
      <c r="AA180" s="157">
        <f>Y180+Y180*VLOOKUP(I180,EXTRAS_ARRAY,2,FALSE)</f>
        <v>0</v>
      </c>
      <c r="AB180" s="20"/>
      <c r="AC180" s="34"/>
      <c r="AD180" s="23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>Error: Effort value is not defined or is invalid.</v>
      </c>
    </row>
    <row r="181" spans="1:30" ht="32" hidden="1" outlineLevel="2" x14ac:dyDescent="0.2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>
        <f ca="1">IFERROR(OFFSET(M181,-1,,1,1)+0.1,OFFSET(M181,-1,-1,1,1)&amp;".1")</f>
        <v>5.1999999999999993</v>
      </c>
      <c r="N181" s="20" t="s">
        <v>511</v>
      </c>
      <c r="O181" s="20"/>
      <c r="P181" s="20" t="s">
        <v>492</v>
      </c>
      <c r="Q181" s="134">
        <f>Total_Test_Cases * 15%</f>
        <v>0</v>
      </c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0.25</v>
      </c>
      <c r="T181" s="158"/>
      <c r="U181" s="21">
        <v>0</v>
      </c>
      <c r="V181" s="21">
        <v>1</v>
      </c>
      <c r="W181" s="21">
        <v>0</v>
      </c>
      <c r="X181" s="156">
        <f>2/8</f>
        <v>0.25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0.25</v>
      </c>
      <c r="Z181" s="22"/>
      <c r="AA181" s="157">
        <f>Y181+Y181*VLOOKUP(I181,EXTRAS_ARRAY,2,FALSE)</f>
        <v>0.25</v>
      </c>
      <c r="AB181" s="20" t="s">
        <v>590</v>
      </c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6" hidden="1" outlineLevel="2" x14ac:dyDescent="0.2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5.2999999999999989</v>
      </c>
      <c r="N182" s="20" t="s">
        <v>512</v>
      </c>
      <c r="O182" s="20"/>
      <c r="P182" s="20" t="s">
        <v>492</v>
      </c>
      <c r="Q182" s="134">
        <f>Total_Test_Cases * 15%</f>
        <v>0</v>
      </c>
      <c r="R182" s="127">
        <v>3</v>
      </c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0.25</v>
      </c>
      <c r="T182" s="158"/>
      <c r="U182" s="21">
        <v>0</v>
      </c>
      <c r="V182" s="21">
        <v>1</v>
      </c>
      <c r="W182" s="21">
        <v>0</v>
      </c>
      <c r="X182" s="156">
        <f>10/60/8</f>
        <v>2.0833333333333332E-2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0.25</v>
      </c>
      <c r="Z182" s="22"/>
      <c r="AA182" s="157">
        <f>Y182+Y182*VLOOKUP(I182,EXTRAS_ARRAY,2,FALSE)</f>
        <v>0.25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48" hidden="1" outlineLevel="2" x14ac:dyDescent="0.2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5.3999999999999986</v>
      </c>
      <c r="N183" s="20" t="s">
        <v>513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0</v>
      </c>
      <c r="T183" s="158"/>
      <c r="U183" s="21">
        <v>0</v>
      </c>
      <c r="V183" s="21">
        <v>1</v>
      </c>
      <c r="W183" s="21">
        <v>0</v>
      </c>
      <c r="X183" s="156"/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0</v>
      </c>
      <c r="Z183" s="22"/>
      <c r="AA183" s="157">
        <f>Y183+Y183*VLOOKUP(I183,EXTRAS_ARRAY,2,FALSE)</f>
        <v>0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>Error: Effort value is not defined or is invalid.</v>
      </c>
    </row>
    <row r="184" spans="1:30" s="9" customFormat="1" ht="7.5" hidden="1" customHeight="1" outlineLevel="2" x14ac:dyDescent="0.2">
      <c r="A184" s="86" t="s">
        <v>132</v>
      </c>
      <c r="B184" s="15"/>
      <c r="C184" s="72"/>
      <c r="D184" s="72"/>
      <c r="E184" s="72"/>
      <c r="F184" s="72"/>
      <c r="M184" s="252"/>
      <c r="T184" s="15"/>
      <c r="X184" s="15"/>
      <c r="AB184" s="10"/>
      <c r="AC184" s="10"/>
      <c r="AD184" s="10"/>
    </row>
    <row r="185" spans="1:30" s="14" customFormat="1" ht="16" hidden="1" outlineLevel="1" collapsed="1" x14ac:dyDescent="0.2">
      <c r="A185" s="86" t="s">
        <v>100</v>
      </c>
      <c r="B185" s="18"/>
      <c r="C185" s="77"/>
      <c r="D185" s="77"/>
      <c r="E185" s="77"/>
      <c r="F185" s="76"/>
      <c r="G185" s="29"/>
      <c r="H185" s="29"/>
      <c r="I185" s="29"/>
      <c r="J185" s="29"/>
      <c r="K185" s="29"/>
      <c r="L185" s="17">
        <f ca="1">LOOKUP(1000,INDIRECT("L1:"&amp;CELL("address",INDIRECT("R[-1]C",FALSE))))+1</f>
        <v>6</v>
      </c>
      <c r="M185" s="274" t="s">
        <v>515</v>
      </c>
      <c r="N185" s="274"/>
      <c r="O185" s="5"/>
      <c r="P185" s="30"/>
      <c r="Q185" s="30"/>
      <c r="R185" s="30"/>
      <c r="S185" s="30"/>
      <c r="T185" s="155">
        <f>IF($S$6="Exclude", SUMIFS(S186:S193, J186:J193, "&lt;&gt;Yes", G186:G193, "&lt;&gt;Yes"), SUMIFS(S186:S193, J186:J193, "&lt;&gt;Yes"))</f>
        <v>0</v>
      </c>
      <c r="U185" s="30"/>
      <c r="V185" s="30"/>
      <c r="W185" s="30"/>
      <c r="X185" s="31"/>
      <c r="Y185" s="32"/>
      <c r="Z185" s="32"/>
      <c r="AA185" s="32"/>
      <c r="AB185" s="219"/>
      <c r="AC185" s="33"/>
      <c r="AD185" s="23" t="str">
        <f>IF(M185="", "Error: Task name cannot be empty.", "")</f>
        <v/>
      </c>
    </row>
    <row r="186" spans="1:30" s="12" customFormat="1" ht="1.5" hidden="1" customHeight="1" outlineLevel="2" x14ac:dyDescent="0.2">
      <c r="A186" s="86" t="s">
        <v>101</v>
      </c>
      <c r="B186" s="18"/>
      <c r="C186" s="77"/>
      <c r="D186" s="77"/>
      <c r="E186" s="77"/>
      <c r="F186" s="76"/>
      <c r="G186" s="29"/>
      <c r="H186" s="29"/>
      <c r="I186" s="29"/>
      <c r="J186" s="29"/>
      <c r="K186" s="29"/>
      <c r="L186" s="163">
        <f ca="1">L185</f>
        <v>6</v>
      </c>
      <c r="M186" s="164" t="s">
        <v>105</v>
      </c>
      <c r="N186" s="161"/>
      <c r="O186" s="162"/>
      <c r="P186" s="30"/>
      <c r="Q186" s="30"/>
      <c r="R186" s="30"/>
      <c r="S186" s="30"/>
      <c r="T186" s="155"/>
      <c r="U186" s="30"/>
      <c r="V186" s="30"/>
      <c r="W186" s="30"/>
      <c r="X186" s="31"/>
      <c r="Y186" s="32"/>
      <c r="Z186" s="32"/>
      <c r="AA186" s="32"/>
      <c r="AB186" s="33"/>
      <c r="AC186" s="33"/>
      <c r="AD186" s="23"/>
    </row>
    <row r="187" spans="1:30" ht="48" hidden="1" outlineLevel="2" x14ac:dyDescent="0.2">
      <c r="A187" s="86" t="s">
        <v>0</v>
      </c>
      <c r="B187" s="18"/>
      <c r="C187" s="78"/>
      <c r="D187" s="78"/>
      <c r="E187" s="78"/>
      <c r="F187" s="79"/>
      <c r="G187" s="19" t="s">
        <v>23</v>
      </c>
      <c r="H187" s="19" t="s">
        <v>23</v>
      </c>
      <c r="I187" s="20" t="s">
        <v>23</v>
      </c>
      <c r="J187" s="19" t="s">
        <v>23</v>
      </c>
      <c r="K187" s="35"/>
      <c r="L187" s="19"/>
      <c r="M187" s="263" t="str">
        <f t="shared" ref="M187:M192" ca="1" si="10">IFERROR(OFFSET(M187,-1,,1,1)+0.1,OFFSET(M187,-1,-1,1,1)&amp;".1")</f>
        <v>6.1</v>
      </c>
      <c r="N187" s="20" t="s">
        <v>516</v>
      </c>
      <c r="O187" s="20"/>
      <c r="P187" s="20" t="s">
        <v>591</v>
      </c>
      <c r="Q187" s="134"/>
      <c r="R187" s="127">
        <f>Total_Screens</f>
        <v>0</v>
      </c>
      <c r="S187" s="157">
        <f t="shared" ref="S187:S192" si="11">CEILING((IF(J187="Yes", 0, IF(H187="-",AA187,AA187+AA187*VLOOKUP(H187,BUFFERS_BY_TYPE,2,FALSE)))) +
   (IF(J187="Yes", 0, IF(H187="-",AA187,AA187+AA187*VLOOKUP(H187,BUFFERS_BY_TYPE,2,FALSE))))*VLOOKUP($S$5, SALES_CALL_SCALE_ARRAY, 2,FALSE),0.25)</f>
        <v>0</v>
      </c>
      <c r="T187" s="158"/>
      <c r="U187" s="21">
        <v>0</v>
      </c>
      <c r="V187" s="21">
        <v>1</v>
      </c>
      <c r="W187" s="21">
        <v>0</v>
      </c>
      <c r="X187" s="156"/>
      <c r="Y187" s="157">
        <f t="shared" ref="Y187:Y192" si="12">CEILING((IF(P187=AS_DEV_EFFORT, DEV_EFFORT*Q187%,
                           IF(P187=AS_DURATION_EFFORT, (MANUAL_DURATION*5)*Q187%,
                                    (IF(Q187&lt;=1,X187,
                                          IF(SUM(U187:W187)=0,(Q187*X187),
                                               (((Q187*U187)*(X187+(X187*EXTRA_FOR_H)))+
                                               ((Q187*V187)*X187)+
                                               ((Q187*W187)*(X187-(X187*LESS_FOR_L)))
                                    )*IF(R187=0,1,R187))))))+Z187), 0.25)</f>
        <v>0</v>
      </c>
      <c r="Z187" s="22"/>
      <c r="AA187" s="157">
        <f t="shared" ref="AA187:AA192" si="13">Y187+Y187*VLOOKUP(I187,EXTRAS_ARRAY,2,FALSE)</f>
        <v>0</v>
      </c>
      <c r="AB187" s="20"/>
      <c r="AC187" s="34"/>
      <c r="AD187" s="23" t="str">
        <f t="shared" ref="AD187:AD192" si="14">IF(J187&lt;&gt;"Yes",
IF(S187&lt;=0,"Error: Effort value is not defined or is invalid.",
IF(AND(SUM(U187:W187)&gt;0,SUM(U187:W187)&lt;&gt;1),"Error: Complexity % distribution should sum to 100%.",
IF(AND(P187=AS_DEV_EFFORT,X187&lt;&gt;0),"Error: PDs should not be defined when defining as dev effort %.",
IF(AND(P187=AS_DURATION_EFFORT,X187&lt;&gt;0),"Error: PDs should not be defined when defining as duration effort %.","")))))</f>
        <v>Error: Effort value is not defined or is invalid.</v>
      </c>
    </row>
    <row r="188" spans="1:30" ht="48" hidden="1" outlineLevel="2" x14ac:dyDescent="0.2">
      <c r="A188" s="86" t="s">
        <v>0</v>
      </c>
      <c r="B188" s="18"/>
      <c r="C188" s="78"/>
      <c r="D188" s="78"/>
      <c r="E188" s="78"/>
      <c r="F188" s="79"/>
      <c r="G188" s="19" t="s">
        <v>23</v>
      </c>
      <c r="H188" s="19" t="s">
        <v>23</v>
      </c>
      <c r="I188" s="20" t="s">
        <v>23</v>
      </c>
      <c r="J188" s="19" t="s">
        <v>23</v>
      </c>
      <c r="K188" s="35"/>
      <c r="L188" s="19"/>
      <c r="M188" s="263">
        <f t="shared" ca="1" si="10"/>
        <v>6.1999999999999993</v>
      </c>
      <c r="N188" s="20" t="s">
        <v>517</v>
      </c>
      <c r="O188" s="20"/>
      <c r="P188" s="20"/>
      <c r="Q188" s="134"/>
      <c r="R188" s="127"/>
      <c r="S188" s="157">
        <f t="shared" si="11"/>
        <v>0</v>
      </c>
      <c r="T188" s="158"/>
      <c r="U188" s="21">
        <v>0</v>
      </c>
      <c r="V188" s="21">
        <v>1</v>
      </c>
      <c r="W188" s="21">
        <v>0</v>
      </c>
      <c r="X188" s="156"/>
      <c r="Y188" s="157">
        <f t="shared" si="12"/>
        <v>0</v>
      </c>
      <c r="Z188" s="22"/>
      <c r="AA188" s="157">
        <f t="shared" si="13"/>
        <v>0</v>
      </c>
      <c r="AB188" s="20"/>
      <c r="AC188" s="34"/>
      <c r="AD188" s="23" t="str">
        <f t="shared" si="14"/>
        <v>Error: Effort value is not defined or is invalid.</v>
      </c>
    </row>
    <row r="189" spans="1:30" ht="48" hidden="1" outlineLevel="2" x14ac:dyDescent="0.2">
      <c r="A189" s="86" t="s">
        <v>0</v>
      </c>
      <c r="B189" s="18"/>
      <c r="C189" s="78"/>
      <c r="D189" s="78"/>
      <c r="E189" s="78"/>
      <c r="F189" s="79"/>
      <c r="G189" s="19" t="s">
        <v>23</v>
      </c>
      <c r="H189" s="19" t="s">
        <v>23</v>
      </c>
      <c r="I189" s="20" t="s">
        <v>23</v>
      </c>
      <c r="J189" s="19" t="s">
        <v>23</v>
      </c>
      <c r="K189" s="35"/>
      <c r="L189" s="19"/>
      <c r="M189" s="263">
        <f t="shared" ca="1" si="10"/>
        <v>6.2999999999999989</v>
      </c>
      <c r="N189" s="20" t="s">
        <v>518</v>
      </c>
      <c r="O189" s="20"/>
      <c r="P189" s="20" t="s">
        <v>592</v>
      </c>
      <c r="Q189" s="134"/>
      <c r="R189" s="127">
        <f>Total_Screens</f>
        <v>0</v>
      </c>
      <c r="S189" s="157">
        <f t="shared" si="11"/>
        <v>0</v>
      </c>
      <c r="T189" s="158"/>
      <c r="U189" s="21">
        <v>0</v>
      </c>
      <c r="V189" s="21">
        <v>1</v>
      </c>
      <c r="W189" s="21">
        <v>0</v>
      </c>
      <c r="X189" s="156"/>
      <c r="Y189" s="157">
        <f t="shared" si="12"/>
        <v>0</v>
      </c>
      <c r="Z189" s="22"/>
      <c r="AA189" s="157">
        <f t="shared" si="13"/>
        <v>0</v>
      </c>
      <c r="AB189" s="20"/>
      <c r="AC189" s="34"/>
      <c r="AD189" s="23" t="str">
        <f t="shared" si="14"/>
        <v>Error: Effort value is not defined or is invalid.</v>
      </c>
    </row>
    <row r="190" spans="1:30" ht="48" hidden="1" outlineLevel="2" x14ac:dyDescent="0.2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>
        <f t="shared" ca="1" si="10"/>
        <v>6.3999999999999986</v>
      </c>
      <c r="N190" s="20" t="s">
        <v>519</v>
      </c>
      <c r="O190" s="20"/>
      <c r="P190" s="20" t="s">
        <v>593</v>
      </c>
      <c r="Q190" s="134"/>
      <c r="R190" s="127">
        <f>Total_Screens</f>
        <v>0</v>
      </c>
      <c r="S190" s="157">
        <f t="shared" si="11"/>
        <v>0</v>
      </c>
      <c r="T190" s="158"/>
      <c r="U190" s="21">
        <v>0</v>
      </c>
      <c r="V190" s="21">
        <v>1</v>
      </c>
      <c r="W190" s="21">
        <v>0</v>
      </c>
      <c r="X190" s="156"/>
      <c r="Y190" s="157">
        <f t="shared" si="12"/>
        <v>0</v>
      </c>
      <c r="Z190" s="22"/>
      <c r="AA190" s="157">
        <f t="shared" si="13"/>
        <v>0</v>
      </c>
      <c r="AB190" s="20"/>
      <c r="AC190" s="34"/>
      <c r="AD190" s="23" t="str">
        <f t="shared" si="14"/>
        <v>Error: Effort value is not defined or is invalid.</v>
      </c>
    </row>
    <row r="191" spans="1:30" ht="48" hidden="1" outlineLevel="2" x14ac:dyDescent="0.2">
      <c r="A191" s="86" t="s">
        <v>0</v>
      </c>
      <c r="B191" s="18"/>
      <c r="C191" s="78"/>
      <c r="D191" s="78"/>
      <c r="E191" s="78"/>
      <c r="F191" s="79"/>
      <c r="G191" s="19" t="s">
        <v>6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t="shared" ca="1" si="10"/>
        <v>6.4999999999999982</v>
      </c>
      <c r="N191" s="20" t="s">
        <v>595</v>
      </c>
      <c r="O191" s="20"/>
      <c r="P191" s="20" t="s">
        <v>597</v>
      </c>
      <c r="Q191" s="134"/>
      <c r="R191" s="127"/>
      <c r="S191" s="157">
        <f t="shared" si="11"/>
        <v>0</v>
      </c>
      <c r="T191" s="158"/>
      <c r="U191" s="21">
        <v>0</v>
      </c>
      <c r="V191" s="21">
        <v>1</v>
      </c>
      <c r="W191" s="21">
        <v>0</v>
      </c>
      <c r="X191" s="156"/>
      <c r="Y191" s="157">
        <f t="shared" si="12"/>
        <v>0</v>
      </c>
      <c r="Z191" s="22"/>
      <c r="AA191" s="157">
        <f t="shared" si="13"/>
        <v>0</v>
      </c>
      <c r="AB191" s="20"/>
      <c r="AC191" s="34"/>
      <c r="AD191" s="23" t="str">
        <f t="shared" si="14"/>
        <v>Error: Effort value is not defined or is invalid.</v>
      </c>
    </row>
    <row r="192" spans="1:30" ht="48" hidden="1" outlineLevel="2" x14ac:dyDescent="0.2">
      <c r="A192" s="86" t="s">
        <v>0</v>
      </c>
      <c r="B192" s="18"/>
      <c r="C192" s="78"/>
      <c r="D192" s="78"/>
      <c r="E192" s="78"/>
      <c r="F192" s="79"/>
      <c r="G192" s="19" t="s">
        <v>6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t="shared" ca="1" si="10"/>
        <v>6.5999999999999979</v>
      </c>
      <c r="N192" s="20" t="s">
        <v>596</v>
      </c>
      <c r="O192" s="20"/>
      <c r="P192" s="20" t="s">
        <v>597</v>
      </c>
      <c r="Q192" s="134"/>
      <c r="R192" s="127"/>
      <c r="S192" s="157">
        <f t="shared" si="11"/>
        <v>0</v>
      </c>
      <c r="T192" s="158"/>
      <c r="U192" s="21">
        <v>0</v>
      </c>
      <c r="V192" s="21">
        <v>1</v>
      </c>
      <c r="W192" s="21">
        <v>0</v>
      </c>
      <c r="X192" s="156"/>
      <c r="Y192" s="157">
        <f t="shared" si="12"/>
        <v>0</v>
      </c>
      <c r="Z192" s="22"/>
      <c r="AA192" s="157">
        <f t="shared" si="13"/>
        <v>0</v>
      </c>
      <c r="AB192" s="20"/>
      <c r="AC192" s="34"/>
      <c r="AD192" s="23" t="str">
        <f t="shared" si="14"/>
        <v>Error: Effort value is not defined or is invalid.</v>
      </c>
    </row>
    <row r="193" spans="1:30" s="9" customFormat="1" ht="7.5" hidden="1" customHeight="1" outlineLevel="2" x14ac:dyDescent="0.2">
      <c r="A193" s="86" t="s">
        <v>132</v>
      </c>
      <c r="B193" s="15"/>
      <c r="C193" s="72"/>
      <c r="D193" s="72"/>
      <c r="E193" s="72"/>
      <c r="F193" s="72"/>
      <c r="M193" s="252"/>
      <c r="T193" s="15"/>
      <c r="X193" s="15"/>
      <c r="AB193" s="10"/>
      <c r="AC193" s="10"/>
      <c r="AD193" s="10"/>
    </row>
    <row r="194" spans="1:30" s="9" customFormat="1" ht="3" hidden="1" customHeight="1" outlineLevel="1" x14ac:dyDescent="0.2">
      <c r="A194" s="86" t="s">
        <v>102</v>
      </c>
      <c r="C194" s="72"/>
      <c r="D194" s="72"/>
      <c r="E194" s="72"/>
      <c r="F194" s="72"/>
      <c r="G194" s="25"/>
      <c r="H194" s="25"/>
      <c r="I194" s="25"/>
      <c r="J194" s="25"/>
      <c r="K194" s="25"/>
      <c r="L194" s="56"/>
      <c r="M194" s="264"/>
      <c r="N194" s="57"/>
      <c r="O194" s="57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7"/>
      <c r="AC194" s="57"/>
      <c r="AD194" s="10"/>
    </row>
    <row r="195" spans="1:30" s="14" customFormat="1" ht="19" x14ac:dyDescent="0.2">
      <c r="A195" s="86" t="s">
        <v>98</v>
      </c>
      <c r="B195" s="12"/>
      <c r="C195" s="73"/>
      <c r="D195" s="73"/>
      <c r="E195" s="73"/>
      <c r="F195" s="72"/>
      <c r="G195" s="52"/>
      <c r="H195" s="52"/>
      <c r="I195" s="52"/>
      <c r="J195" s="52"/>
      <c r="K195" s="52"/>
      <c r="L195" s="52" t="s">
        <v>71</v>
      </c>
      <c r="M195" s="261" t="s">
        <v>75</v>
      </c>
      <c r="N195" s="53"/>
      <c r="O195" s="54"/>
      <c r="P195" s="55"/>
      <c r="Q195" s="55"/>
      <c r="R195" s="55"/>
      <c r="S195" s="275">
        <f>CEILING(SUMIF(J196:J225, "&lt;&gt;Yes", T196:T225),1)</f>
        <v>58</v>
      </c>
      <c r="T195" s="275"/>
      <c r="U195" s="55"/>
      <c r="V195" s="55"/>
      <c r="W195" s="55"/>
      <c r="X195" s="55"/>
      <c r="Y195" s="55"/>
      <c r="Z195" s="55"/>
      <c r="AA195" s="55"/>
      <c r="AB195" s="55"/>
      <c r="AC195" s="55"/>
      <c r="AD195" s="13"/>
    </row>
    <row r="196" spans="1:30" s="9" customFormat="1" ht="3" hidden="1" customHeight="1" outlineLevel="1" x14ac:dyDescent="0.2">
      <c r="A196" s="86" t="s">
        <v>99</v>
      </c>
      <c r="B196" s="15"/>
      <c r="C196" s="72"/>
      <c r="D196" s="72"/>
      <c r="E196" s="72"/>
      <c r="F196" s="72"/>
      <c r="G196" s="25"/>
      <c r="H196" s="25"/>
      <c r="I196" s="25"/>
      <c r="J196" s="25"/>
      <c r="K196" s="25"/>
      <c r="L196" s="26">
        <v>0</v>
      </c>
      <c r="M196" s="262"/>
      <c r="N196" s="25"/>
      <c r="O196" s="25"/>
      <c r="P196" s="25"/>
      <c r="Q196" s="25"/>
      <c r="R196" s="25"/>
      <c r="S196" s="25"/>
      <c r="T196" s="27"/>
      <c r="U196" s="25"/>
      <c r="V196" s="25"/>
      <c r="W196" s="25"/>
      <c r="X196" s="27"/>
      <c r="Y196" s="25"/>
      <c r="Z196" s="25"/>
      <c r="AA196" s="25"/>
      <c r="AB196" s="28"/>
      <c r="AC196" s="28"/>
      <c r="AD196" s="10"/>
    </row>
    <row r="197" spans="1:30" s="14" customFormat="1" ht="16" outlineLevel="1" x14ac:dyDescent="0.2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</v>
      </c>
      <c r="M197" s="274" t="s">
        <v>108</v>
      </c>
      <c r="N197" s="274"/>
      <c r="O197" s="5"/>
      <c r="P197" s="30"/>
      <c r="Q197" s="30"/>
      <c r="R197" s="30"/>
      <c r="S197" s="30"/>
      <c r="T197" s="155">
        <f>IF($S$6="Exclude", SUMIFS(S198:S204, J198:J204, "&lt;&gt;Yes", G198:G204, "&lt;&gt;Yes"), SUMIFS(S198:S204, J198:J204, "&lt;&gt;Yes"))</f>
        <v>13</v>
      </c>
      <c r="U197" s="30"/>
      <c r="V197" s="30"/>
      <c r="W197" s="30"/>
      <c r="X197" s="31"/>
      <c r="Y197" s="32"/>
      <c r="Z197" s="32"/>
      <c r="AA197" s="32"/>
      <c r="AB197" s="219" t="s">
        <v>443</v>
      </c>
      <c r="AC197" s="33"/>
      <c r="AD197" s="23" t="str">
        <f>IF(M197="", "Error: Task name cannot be empty.", "")</f>
        <v/>
      </c>
    </row>
    <row r="198" spans="1:30" s="12" customFormat="1" ht="1.5" customHeight="1" outlineLevel="2" x14ac:dyDescent="0.2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6" outlineLevel="2" x14ac:dyDescent="0.2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ca="1">IFERROR(OFFSET(M199,-1,,1,1)+0.1,OFFSET(M199,-1,-1,1,1)&amp;".1")</f>
        <v>1.1</v>
      </c>
      <c r="N199" s="20" t="s">
        <v>615</v>
      </c>
      <c r="O199" s="20" t="s">
        <v>616</v>
      </c>
      <c r="P199" s="20"/>
      <c r="Q199" s="134"/>
      <c r="R199" s="127"/>
      <c r="S199" s="157">
        <f>CEILING((IF(J199="Yes", 0, IF(H199="-",AA199,AA199+AA199*VLOOKUP(H199,BUFFERS_BY_TYPE,2,FALSE)))) +
   (IF(J199="Yes", 0, IF(H199="-",AA199,AA199+AA199*VLOOKUP(H199,BUFFERS_BY_TYPE,2,FALSE))))*VLOOKUP($S$5, SALES_CALL_SCALE_ARRAY, 2,FALSE),0.25)</f>
        <v>3</v>
      </c>
      <c r="T199" s="158"/>
      <c r="U199" s="21">
        <v>0</v>
      </c>
      <c r="V199" s="21">
        <v>1</v>
      </c>
      <c r="W199" s="21">
        <v>0</v>
      </c>
      <c r="X199" s="156">
        <v>3</v>
      </c>
      <c r="Y199" s="157">
        <f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3</v>
      </c>
      <c r="Z199" s="22"/>
      <c r="AA199" s="157">
        <f>Y199+Y199*VLOOKUP(I199,EXTRAS_ARRAY,2,FALSE)</f>
        <v>3</v>
      </c>
      <c r="AB199" s="20"/>
      <c r="AC199" s="34"/>
      <c r="AD199" s="23" t="str">
        <f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6" outlineLevel="2" x14ac:dyDescent="0.2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ca="1">IFERROR(OFFSET(M200,-1,,1,1)+0.1,OFFSET(M200,-1,-1,1,1)&amp;".1")</f>
        <v>1.2000000000000002</v>
      </c>
      <c r="N200" s="20" t="s">
        <v>617</v>
      </c>
      <c r="O200" s="20" t="s">
        <v>616</v>
      </c>
      <c r="P200" s="20"/>
      <c r="Q200" s="134"/>
      <c r="R200" s="127"/>
      <c r="S200" s="157">
        <f>CEILING((IF(J200="Yes", 0, IF(H200="-",AA200,AA200+AA200*VLOOKUP(H200,BUFFERS_BY_TYPE,2,FALSE)))) +
   (IF(J200="Yes", 0, IF(H200="-",AA200,AA200+AA200*VLOOKUP(H200,BUFFERS_BY_TYPE,2,FALSE))))*VLOOKUP($S$5, SALES_CALL_SCALE_ARRAY, 2,FALSE),0.25)</f>
        <v>2</v>
      </c>
      <c r="T200" s="158"/>
      <c r="U200" s="21">
        <v>0</v>
      </c>
      <c r="V200" s="21">
        <v>1</v>
      </c>
      <c r="W200" s="21">
        <v>0</v>
      </c>
      <c r="X200" s="156">
        <v>2</v>
      </c>
      <c r="Y200" s="157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2</v>
      </c>
      <c r="Z200" s="22"/>
      <c r="AA200" s="157">
        <f>Y200+Y200*VLOOKUP(I200,EXTRAS_ARRAY,2,FALSE)</f>
        <v>2</v>
      </c>
      <c r="AB200" s="20"/>
      <c r="AC200" s="34"/>
      <c r="AD200" s="23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ht="16" outlineLevel="2" x14ac:dyDescent="0.2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ca="1">IFERROR(OFFSET(M201,-1,,1,1)+0.1,OFFSET(M201,-1,-1,1,1)&amp;".1")</f>
        <v>1.3000000000000003</v>
      </c>
      <c r="N201" s="20" t="s">
        <v>618</v>
      </c>
      <c r="O201" s="20" t="s">
        <v>616</v>
      </c>
      <c r="P201" s="20"/>
      <c r="Q201" s="134"/>
      <c r="R201" s="127"/>
      <c r="S201" s="157">
        <f>CEILING((IF(J201="Yes", 0, IF(H201="-",AA201,AA201+AA201*VLOOKUP(H201,BUFFERS_BY_TYPE,2,FALSE)))) +
   (IF(J201="Yes", 0, IF(H201="-",AA201,AA201+AA201*VLOOKUP(H201,BUFFERS_BY_TYPE,2,FALSE))))*VLOOKUP($S$5, SALES_CALL_SCALE_ARRAY, 2,FALSE),0.25)</f>
        <v>2</v>
      </c>
      <c r="T201" s="158"/>
      <c r="U201" s="21">
        <v>0</v>
      </c>
      <c r="V201" s="21">
        <v>1</v>
      </c>
      <c r="W201" s="21">
        <v>0</v>
      </c>
      <c r="X201" s="156">
        <v>2</v>
      </c>
      <c r="Y201" s="157">
        <f>CEILING((IF(P201=AS_DEV_EFFORT, DEV_EFFORT*Q201%,
                           IF(P201=AS_DURATION_EFFORT, (MANUAL_DURATION*5)*Q201%,
                                    (IF(Q201&lt;=1,X201,
                                          IF(SUM(U201:W201)=0,(Q201*X201),
                                               (((Q201*U201)*(X201+(X201*EXTRA_FOR_H)))+
                                               ((Q201*V201)*X201)+
                                               ((Q201*W201)*(X201-(X201*LESS_FOR_L)))
                                    )*IF(R201=0,1,R201))))))+Z201), 0.25)</f>
        <v>2</v>
      </c>
      <c r="Z201" s="22"/>
      <c r="AA201" s="157">
        <f>Y201+Y201*VLOOKUP(I201,EXTRAS_ARRAY,2,FALSE)</f>
        <v>2</v>
      </c>
      <c r="AB201" s="20"/>
      <c r="AC201" s="34"/>
      <c r="AD201" s="23" t="str">
        <f>IF(J201&lt;&gt;"Yes",
IF(S201&lt;=0,"Error: Effort value is not defined or is invalid.",
IF(AND(SUM(U201:W201)&gt;0,SUM(U201:W201)&lt;&gt;1),"Error: Complexity % distribution should sum to 100%.",
IF(AND(P201=AS_DEV_EFFORT,X201&lt;&gt;0),"Error: PDs should not be defined when defining as dev effort %.",
IF(AND(P201=AS_DURATION_EFFORT,X201&lt;&gt;0),"Error: PDs should not be defined when defining as duration effort %.","")))))</f>
        <v/>
      </c>
    </row>
    <row r="202" spans="1:30" ht="16" outlineLevel="2" x14ac:dyDescent="0.2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ca="1">IFERROR(OFFSET(M202,-1,,1,1)+0.1,OFFSET(M202,-1,-1,1,1)&amp;".1")</f>
        <v>1.4000000000000004</v>
      </c>
      <c r="N202" s="20" t="s">
        <v>614</v>
      </c>
      <c r="O202" s="20" t="s">
        <v>11</v>
      </c>
      <c r="P202" s="20"/>
      <c r="Q202" s="134"/>
      <c r="R202" s="127"/>
      <c r="S202" s="157">
        <f>CEILING((IF(J202="Yes", 0, IF(H202="-",AA202,AA202+AA202*VLOOKUP(H202,BUFFERS_BY_TYPE,2,FALSE)))) +
   (IF(J202="Yes", 0, IF(H202="-",AA202,AA202+AA202*VLOOKUP(H202,BUFFERS_BY_TYPE,2,FALSE))))*VLOOKUP($S$5, SALES_CALL_SCALE_ARRAY, 2,FALSE),0.25)</f>
        <v>3</v>
      </c>
      <c r="T202" s="158"/>
      <c r="U202" s="21">
        <v>0</v>
      </c>
      <c r="V202" s="21">
        <v>1</v>
      </c>
      <c r="W202" s="21">
        <v>0</v>
      </c>
      <c r="X202" s="156">
        <v>3</v>
      </c>
      <c r="Y202" s="157">
        <f>CEILING((IF(P202=AS_DEV_EFFORT, DEV_EFFORT*Q202%,
                           IF(P202=AS_DURATION_EFFORT, (MANUAL_DURATION*5)*Q202%,
                                    (IF(Q202&lt;=1,X202,
                                          IF(SUM(U202:W202)=0,(Q202*X202),
                                               (((Q202*U202)*(X202+(X202*EXTRA_FOR_H)))+
                                               ((Q202*V202)*X202)+
                                               ((Q202*W202)*(X202-(X202*LESS_FOR_L)))
                                    )*IF(R202=0,1,R202))))))+Z202), 0.25)</f>
        <v>3</v>
      </c>
      <c r="Z202" s="22"/>
      <c r="AA202" s="157">
        <f>Y202+Y202*VLOOKUP(I202,EXTRAS_ARRAY,2,FALSE)</f>
        <v>3</v>
      </c>
      <c r="AB202" s="20"/>
      <c r="AC202" s="34"/>
      <c r="AD202" s="23" t="str">
        <f>IF(J202&lt;&gt;"Yes",
IF(S202&lt;=0,"Error: Effort value is not defined or is invalid.",
IF(AND(SUM(U202:W202)&gt;0,SUM(U202:W202)&lt;&gt;1),"Error: Complexity % distribution should sum to 100%.",
IF(AND(P202=AS_DEV_EFFORT,X202&lt;&gt;0),"Error: PDs should not be defined when defining as dev effort %.",
IF(AND(P202=AS_DURATION_EFFORT,X202&lt;&gt;0),"Error: PDs should not be defined when defining as duration effort %.","")))))</f>
        <v/>
      </c>
    </row>
    <row r="203" spans="1:30" ht="16" outlineLevel="2" x14ac:dyDescent="0.2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ca="1">IFERROR(OFFSET(M203,-1,,1,1)+0.1,OFFSET(M203,-1,-1,1,1)&amp;".1")</f>
        <v>1.5000000000000004</v>
      </c>
      <c r="N203" s="20" t="s">
        <v>619</v>
      </c>
      <c r="O203" s="20"/>
      <c r="P203" s="20"/>
      <c r="Q203" s="134"/>
      <c r="R203" s="127"/>
      <c r="S203" s="157">
        <f>CEILING((IF(J203="Yes", 0, IF(H203="-",AA203,AA203+AA203*VLOOKUP(H203,BUFFERS_BY_TYPE,2,FALSE)))) +
   (IF(J203="Yes", 0, IF(H203="-",AA203,AA203+AA203*VLOOKUP(H203,BUFFERS_BY_TYPE,2,FALSE))))*VLOOKUP($S$5, SALES_CALL_SCALE_ARRAY, 2,FALSE),0.25)</f>
        <v>3</v>
      </c>
      <c r="T203" s="158"/>
      <c r="U203" s="21">
        <v>0</v>
      </c>
      <c r="V203" s="21">
        <v>1</v>
      </c>
      <c r="W203" s="21">
        <v>0</v>
      </c>
      <c r="X203" s="156">
        <v>3</v>
      </c>
      <c r="Y203" s="157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3</v>
      </c>
      <c r="Z203" s="22"/>
      <c r="AA203" s="157">
        <f>Y203+Y203*VLOOKUP(I203,EXTRAS_ARRAY,2,FALSE)</f>
        <v>3</v>
      </c>
      <c r="AB203" s="20"/>
      <c r="AC203" s="34"/>
      <c r="AD203" s="23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s="9" customFormat="1" ht="7.5" customHeight="1" outlineLevel="2" x14ac:dyDescent="0.2">
      <c r="A204" s="86" t="s">
        <v>132</v>
      </c>
      <c r="B204" s="15"/>
      <c r="C204" s="72"/>
      <c r="D204" s="72"/>
      <c r="E204" s="72"/>
      <c r="F204" s="72"/>
      <c r="M204" s="252"/>
      <c r="T204" s="15"/>
      <c r="X204" s="15"/>
      <c r="AB204" s="10"/>
      <c r="AC204" s="10"/>
      <c r="AD204" s="10"/>
    </row>
    <row r="205" spans="1:30" s="14" customFormat="1" ht="16" hidden="1" outlineLevel="1" collapsed="1" x14ac:dyDescent="0.2">
      <c r="A205" s="86" t="s">
        <v>100</v>
      </c>
      <c r="B205" s="18"/>
      <c r="C205" s="77"/>
      <c r="D205" s="77"/>
      <c r="E205" s="77"/>
      <c r="F205" s="76"/>
      <c r="G205" s="29"/>
      <c r="H205" s="29"/>
      <c r="I205" s="29"/>
      <c r="J205" s="29"/>
      <c r="K205" s="29"/>
      <c r="L205" s="17">
        <f ca="1">LOOKUP(1000,INDIRECT("L1:"&amp;CELL("address",INDIRECT("R[-1]C",FALSE))))+1</f>
        <v>2</v>
      </c>
      <c r="M205" s="274" t="s">
        <v>523</v>
      </c>
      <c r="N205" s="274"/>
      <c r="O205" s="5"/>
      <c r="P205" s="30"/>
      <c r="Q205" s="30"/>
      <c r="R205" s="30"/>
      <c r="S205" s="30"/>
      <c r="T205" s="155">
        <f>IF($S$6="Exclude", SUMIFS(S206:S209, J206:J209, "&lt;&gt;Yes", G206:G209, "&lt;&gt;Yes"), SUMIFS(S206:S209, J206:J209, "&lt;&gt;Yes"))</f>
        <v>0</v>
      </c>
      <c r="U205" s="30"/>
      <c r="V205" s="30"/>
      <c r="W205" s="30"/>
      <c r="X205" s="31"/>
      <c r="Y205" s="32"/>
      <c r="Z205" s="32"/>
      <c r="AA205" s="32"/>
      <c r="AB205" s="219"/>
      <c r="AC205" s="33"/>
      <c r="AD205" s="23" t="str">
        <f>IF(M205="", "Error: Task name cannot be empty.", "")</f>
        <v/>
      </c>
    </row>
    <row r="206" spans="1:30" s="12" customFormat="1" ht="1.5" hidden="1" customHeight="1" outlineLevel="2" x14ac:dyDescent="0.2">
      <c r="A206" s="86" t="s">
        <v>101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63">
        <f ca="1">L205</f>
        <v>2</v>
      </c>
      <c r="M206" s="164" t="s">
        <v>105</v>
      </c>
      <c r="N206" s="161"/>
      <c r="O206" s="162"/>
      <c r="P206" s="30"/>
      <c r="Q206" s="30"/>
      <c r="R206" s="30"/>
      <c r="S206" s="30"/>
      <c r="T206" s="155"/>
      <c r="U206" s="30"/>
      <c r="V206" s="30"/>
      <c r="W206" s="30"/>
      <c r="X206" s="31"/>
      <c r="Y206" s="32"/>
      <c r="Z206" s="32"/>
      <c r="AA206" s="32"/>
      <c r="AB206" s="33"/>
      <c r="AC206" s="33"/>
      <c r="AD206" s="23"/>
    </row>
    <row r="207" spans="1:30" ht="48" hidden="1" outlineLevel="2" x14ac:dyDescent="0.2">
      <c r="A207" s="86" t="s">
        <v>0</v>
      </c>
      <c r="B207" s="18"/>
      <c r="C207" s="78"/>
      <c r="D207" s="78"/>
      <c r="E207" s="78"/>
      <c r="F207" s="79"/>
      <c r="G207" s="19" t="s">
        <v>23</v>
      </c>
      <c r="H207" s="19" t="s">
        <v>23</v>
      </c>
      <c r="I207" s="20" t="s">
        <v>23</v>
      </c>
      <c r="J207" s="19" t="s">
        <v>23</v>
      </c>
      <c r="K207" s="35"/>
      <c r="L207" s="19"/>
      <c r="M207" s="263" t="str">
        <f ca="1">IFERROR(OFFSET(M207,-1,,1,1)+0.1,OFFSET(M207,-1,-1,1,1)&amp;".1")</f>
        <v>2.1</v>
      </c>
      <c r="N207" s="20" t="s">
        <v>524</v>
      </c>
      <c r="O207" s="20"/>
      <c r="P207" s="20" t="s">
        <v>529</v>
      </c>
      <c r="Q207" s="134">
        <v>10</v>
      </c>
      <c r="R207" s="127"/>
      <c r="S207" s="157">
        <f>CEILING((IF(J207="Yes", 0, IF(H207="-",AA207,AA207+AA207*VLOOKUP(H207,BUFFERS_BY_TYPE,2,FALSE)))) +
   (IF(J207="Yes", 0, IF(H207="-",AA207,AA207+AA207*VLOOKUP(H207,BUFFERS_BY_TYPE,2,FALSE))))*VLOOKUP($S$5, SALES_CALL_SCALE_ARRAY, 2,FALSE),0.25)</f>
        <v>0</v>
      </c>
      <c r="T207" s="158"/>
      <c r="U207" s="21">
        <v>0</v>
      </c>
      <c r="V207" s="21">
        <v>1</v>
      </c>
      <c r="W207" s="21">
        <v>0</v>
      </c>
      <c r="X207" s="156"/>
      <c r="Y207" s="157">
        <f>CEILING((IF(P207=AS_DEV_EFFORT, DEV_EFFORT*Q207%,
                           IF(P207=AS_DURATION_EFFORT, (MANUAL_DURATION*5)*Q207%,
                                    (IF(Q207&lt;=1,X207,
                                          IF(SUM(U207:W207)=0,(Q207*X207),
                                               (((Q207*U207)*(X207+(X207*EXTRA_FOR_H)))+
                                               ((Q207*V207)*X207)+
                                               ((Q207*W207)*(X207-(X207*LESS_FOR_L)))
                                    )*IF(R207=0,1,R207))))))+Z207), 0.25)</f>
        <v>0</v>
      </c>
      <c r="Z207" s="22"/>
      <c r="AA207" s="157">
        <f>Y207+Y207*VLOOKUP(I207,EXTRAS_ARRAY,2,FALSE)</f>
        <v>0</v>
      </c>
      <c r="AB207" s="20"/>
      <c r="AC207" s="34"/>
      <c r="AD207" s="23" t="str">
        <f>IF(J207&lt;&gt;"Yes",
IF(S207&lt;=0,"Error: Effort value is not defined or is invalid.",
IF(AND(SUM(U207:W207)&gt;0,SUM(U207:W207)&lt;&gt;1),"Error: Complexity % distribution should sum to 100%.",
IF(AND(P207=AS_DEV_EFFORT,X207&lt;&gt;0),"Error: PDs should not be defined when defining as dev effort %.",
IF(AND(P207=AS_DURATION_EFFORT,X207&lt;&gt;0),"Error: PDs should not be defined when defining as duration effort %.","")))))</f>
        <v>Error: Effort value is not defined or is invalid.</v>
      </c>
    </row>
    <row r="208" spans="1:30" ht="48" hidden="1" outlineLevel="2" x14ac:dyDescent="0.2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>
        <f ca="1">IFERROR(OFFSET(M208,-1,,1,1)+0.1,OFFSET(M208,-1,-1,1,1)&amp;".1")</f>
        <v>2.2000000000000002</v>
      </c>
      <c r="N208" s="20" t="s">
        <v>525</v>
      </c>
      <c r="O208" s="20"/>
      <c r="P208" s="20" t="s">
        <v>528</v>
      </c>
      <c r="Q208" s="134">
        <v>5</v>
      </c>
      <c r="R208" s="127"/>
      <c r="S208" s="157">
        <f>CEILING((IF(J208="Yes", 0, IF(H208="-",AA208,AA208+AA208*VLOOKUP(H208,BUFFERS_BY_TYPE,2,FALSE)))) +
   (IF(J208="Yes", 0, IF(H208="-",AA208,AA208+AA208*VLOOKUP(H208,BUFFERS_BY_TYPE,2,FALSE))))*VLOOKUP($S$5, SALES_CALL_SCALE_ARRAY, 2,FALSE),0.25)</f>
        <v>0</v>
      </c>
      <c r="T208" s="158"/>
      <c r="U208" s="21">
        <v>0</v>
      </c>
      <c r="V208" s="21">
        <v>1</v>
      </c>
      <c r="W208" s="21">
        <v>0</v>
      </c>
      <c r="X208" s="156"/>
      <c r="Y208" s="157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0</v>
      </c>
      <c r="Z208" s="22"/>
      <c r="AA208" s="157">
        <f>Y208+Y208*VLOOKUP(I208,EXTRAS_ARRAY,2,FALSE)</f>
        <v>0</v>
      </c>
      <c r="AB208" s="20"/>
      <c r="AC208" s="34"/>
      <c r="AD208" s="23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>Error: Effort value is not defined or is invalid.</v>
      </c>
    </row>
    <row r="209" spans="1:30" s="9" customFormat="1" ht="7.5" hidden="1" customHeight="1" outlineLevel="2" x14ac:dyDescent="0.2">
      <c r="A209" s="86" t="s">
        <v>132</v>
      </c>
      <c r="B209" s="15"/>
      <c r="C209" s="72"/>
      <c r="D209" s="72"/>
      <c r="E209" s="72"/>
      <c r="F209" s="72"/>
      <c r="M209" s="252"/>
      <c r="T209" s="15"/>
      <c r="X209" s="15"/>
      <c r="AB209" s="10"/>
      <c r="AC209" s="10"/>
      <c r="AD209" s="10"/>
    </row>
    <row r="210" spans="1:30" s="14" customFormat="1" ht="16" hidden="1" outlineLevel="1" collapsed="1" x14ac:dyDescent="0.2">
      <c r="A210" s="86" t="s">
        <v>100</v>
      </c>
      <c r="B210" s="18"/>
      <c r="C210" s="77"/>
      <c r="D210" s="77"/>
      <c r="E210" s="77"/>
      <c r="F210" s="76"/>
      <c r="G210" s="29"/>
      <c r="H210" s="29"/>
      <c r="I210" s="29"/>
      <c r="J210" s="29"/>
      <c r="K210" s="29"/>
      <c r="L210" s="17">
        <f ca="1">LOOKUP(1000,INDIRECT("L1:"&amp;CELL("address",INDIRECT("R[-1]C",FALSE))))+1</f>
        <v>3</v>
      </c>
      <c r="M210" s="274" t="s">
        <v>526</v>
      </c>
      <c r="N210" s="274"/>
      <c r="O210" s="5"/>
      <c r="P210" s="30"/>
      <c r="Q210" s="30"/>
      <c r="R210" s="30"/>
      <c r="S210" s="30"/>
      <c r="T210" s="155">
        <f>IF($S$6="Exclude", SUMIFS(S211:S213, J211:J213, "&lt;&gt;Yes", G211:G213, "&lt;&gt;Yes"), SUMIFS(S211:S213, J211:J213, "&lt;&gt;Yes"))</f>
        <v>40</v>
      </c>
      <c r="U210" s="30"/>
      <c r="V210" s="30"/>
      <c r="W210" s="30"/>
      <c r="X210" s="31"/>
      <c r="Y210" s="32"/>
      <c r="Z210" s="32"/>
      <c r="AA210" s="32"/>
      <c r="AB210" s="219"/>
      <c r="AC210" s="33"/>
      <c r="AD210" s="23" t="str">
        <f>IF(M210="", "Error: Task name cannot be empty.", "")</f>
        <v/>
      </c>
    </row>
    <row r="211" spans="1:30" s="12" customFormat="1" ht="1.5" hidden="1" customHeight="1" outlineLevel="2" x14ac:dyDescent="0.2">
      <c r="A211" s="86" t="s">
        <v>101</v>
      </c>
      <c r="B211" s="18"/>
      <c r="C211" s="77"/>
      <c r="D211" s="77"/>
      <c r="E211" s="77"/>
      <c r="F211" s="76"/>
      <c r="G211" s="29"/>
      <c r="H211" s="29"/>
      <c r="I211" s="29"/>
      <c r="J211" s="29"/>
      <c r="K211" s="29"/>
      <c r="L211" s="163">
        <f ca="1">L210</f>
        <v>3</v>
      </c>
      <c r="M211" s="164" t="s">
        <v>105</v>
      </c>
      <c r="N211" s="161"/>
      <c r="O211" s="162"/>
      <c r="P211" s="30"/>
      <c r="Q211" s="30"/>
      <c r="R211" s="30"/>
      <c r="S211" s="30"/>
      <c r="T211" s="155"/>
      <c r="U211" s="30"/>
      <c r="V211" s="30"/>
      <c r="W211" s="30"/>
      <c r="X211" s="31"/>
      <c r="Y211" s="32"/>
      <c r="Z211" s="32"/>
      <c r="AA211" s="32"/>
      <c r="AB211" s="33"/>
      <c r="AC211" s="33"/>
      <c r="AD211" s="23"/>
    </row>
    <row r="212" spans="1:30" ht="48" hidden="1" outlineLevel="2" x14ac:dyDescent="0.2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 t="str">
        <f ca="1">IFERROR(OFFSET(M212,-1,,1,1)+0.1,OFFSET(M212,-1,-1,1,1)&amp;".1")</f>
        <v>3.1</v>
      </c>
      <c r="N212" s="20" t="s">
        <v>527</v>
      </c>
      <c r="O212" s="20"/>
      <c r="P212" s="20" t="s">
        <v>542</v>
      </c>
      <c r="Q212" s="134">
        <v>2</v>
      </c>
      <c r="R212" s="127">
        <v>4</v>
      </c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40</v>
      </c>
      <c r="T212" s="158"/>
      <c r="U212" s="21">
        <v>0</v>
      </c>
      <c r="V212" s="21">
        <v>1</v>
      </c>
      <c r="W212" s="21">
        <v>0</v>
      </c>
      <c r="X212" s="156">
        <v>5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40</v>
      </c>
      <c r="Z212" s="22"/>
      <c r="AA212" s="157">
        <f>Y212+Y212*VLOOKUP(I212,EXTRAS_ARRAY,2,FALSE)</f>
        <v>40</v>
      </c>
      <c r="AB212" s="20" t="s">
        <v>543</v>
      </c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s="9" customFormat="1" ht="7.5" hidden="1" customHeight="1" outlineLevel="2" x14ac:dyDescent="0.2">
      <c r="A213" s="86" t="s">
        <v>132</v>
      </c>
      <c r="B213" s="15"/>
      <c r="C213" s="72"/>
      <c r="D213" s="72"/>
      <c r="E213" s="72"/>
      <c r="F213" s="72"/>
      <c r="M213" s="252"/>
      <c r="T213" s="15"/>
      <c r="X213" s="15"/>
      <c r="AB213" s="10"/>
      <c r="AC213" s="10"/>
      <c r="AD213" s="10"/>
    </row>
    <row r="214" spans="1:30" s="14" customFormat="1" ht="16" hidden="1" outlineLevel="1" collapsed="1" x14ac:dyDescent="0.2">
      <c r="A214" s="86" t="s">
        <v>100</v>
      </c>
      <c r="B214" s="18"/>
      <c r="C214" s="77"/>
      <c r="D214" s="77"/>
      <c r="E214" s="77"/>
      <c r="F214" s="76"/>
      <c r="G214" s="29"/>
      <c r="H214" s="29"/>
      <c r="I214" s="29"/>
      <c r="J214" s="29"/>
      <c r="K214" s="29"/>
      <c r="L214" s="17">
        <f ca="1">LOOKUP(1000,INDIRECT("L1:"&amp;CELL("address",INDIRECT("R[-1]C",FALSE))))+1</f>
        <v>4</v>
      </c>
      <c r="M214" s="274" t="s">
        <v>530</v>
      </c>
      <c r="N214" s="274"/>
      <c r="O214" s="5"/>
      <c r="P214" s="30"/>
      <c r="Q214" s="30"/>
      <c r="R214" s="30"/>
      <c r="S214" s="30"/>
      <c r="T214" s="155">
        <f>IF($S$6="Exclude", SUMIFS(S215:S217, J215:J217, "&lt;&gt;Yes", G215:G217, "&lt;&gt;Yes"), SUMIFS(S215:S217, J215:J217, "&lt;&gt;Yes"))</f>
        <v>5</v>
      </c>
      <c r="U214" s="30"/>
      <c r="V214" s="30"/>
      <c r="W214" s="30"/>
      <c r="X214" s="31"/>
      <c r="Y214" s="32"/>
      <c r="Z214" s="32"/>
      <c r="AA214" s="32"/>
      <c r="AB214" s="219"/>
      <c r="AC214" s="33"/>
      <c r="AD214" s="23" t="str">
        <f>IF(M214="", "Error: Task name cannot be empty.", "")</f>
        <v/>
      </c>
    </row>
    <row r="215" spans="1:30" s="12" customFormat="1" ht="1.5" hidden="1" customHeight="1" outlineLevel="2" x14ac:dyDescent="0.2">
      <c r="A215" s="86" t="s">
        <v>101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63">
        <f ca="1">L214</f>
        <v>4</v>
      </c>
      <c r="M215" s="164" t="s">
        <v>105</v>
      </c>
      <c r="N215" s="161"/>
      <c r="O215" s="162"/>
      <c r="P215" s="30"/>
      <c r="Q215" s="30"/>
      <c r="R215" s="30"/>
      <c r="S215" s="30"/>
      <c r="T215" s="155"/>
      <c r="U215" s="30"/>
      <c r="V215" s="30"/>
      <c r="W215" s="30"/>
      <c r="X215" s="31"/>
      <c r="Y215" s="32"/>
      <c r="Z215" s="32"/>
      <c r="AA215" s="32"/>
      <c r="AB215" s="33"/>
      <c r="AC215" s="33"/>
      <c r="AD215" s="23"/>
    </row>
    <row r="216" spans="1:30" ht="32" hidden="1" outlineLevel="2" x14ac:dyDescent="0.2">
      <c r="A216" s="86" t="s">
        <v>0</v>
      </c>
      <c r="B216" s="18"/>
      <c r="C216" s="78"/>
      <c r="D216" s="78"/>
      <c r="E216" s="78"/>
      <c r="F216" s="79"/>
      <c r="G216" s="19" t="s">
        <v>23</v>
      </c>
      <c r="H216" s="19" t="s">
        <v>23</v>
      </c>
      <c r="I216" s="20" t="s">
        <v>23</v>
      </c>
      <c r="J216" s="19" t="s">
        <v>23</v>
      </c>
      <c r="K216" s="35"/>
      <c r="L216" s="19"/>
      <c r="M216" s="263" t="str">
        <f ca="1">IFERROR(OFFSET(M216,-1,,1,1)+0.1,OFFSET(M216,-1,-1,1,1)&amp;".1")</f>
        <v>4.1</v>
      </c>
      <c r="N216" s="20" t="s">
        <v>531</v>
      </c>
      <c r="O216" s="20"/>
      <c r="P216" s="20" t="s">
        <v>542</v>
      </c>
      <c r="Q216" s="134">
        <v>1</v>
      </c>
      <c r="R216" s="127">
        <v>2</v>
      </c>
      <c r="S216" s="157">
        <f>CEILING((IF(J216="Yes", 0, IF(H216="-",AA216,AA216+AA216*VLOOKUP(H216,BUFFERS_BY_TYPE,2,FALSE)))) +
   (IF(J216="Yes", 0, IF(H216="-",AA216,AA216+AA216*VLOOKUP(H216,BUFFERS_BY_TYPE,2,FALSE))))*VLOOKUP($S$5, SALES_CALL_SCALE_ARRAY, 2,FALSE),0.25)</f>
        <v>5</v>
      </c>
      <c r="T216" s="158"/>
      <c r="U216" s="21">
        <v>0</v>
      </c>
      <c r="V216" s="21">
        <v>1</v>
      </c>
      <c r="W216" s="21">
        <v>0</v>
      </c>
      <c r="X216" s="156">
        <v>5</v>
      </c>
      <c r="Y216" s="157">
        <f>CEILING((IF(P216=AS_DEV_EFFORT, DEV_EFFORT*Q216%,
                           IF(P216=AS_DURATION_EFFORT, (MANUAL_DURATION*5)*Q216%,
                                    (IF(Q216&lt;=1,X216,
                                          IF(SUM(U216:W216)=0,(Q216*X216),
                                               (((Q216*U216)*(X216+(X216*EXTRA_FOR_H)))+
                                               ((Q216*V216)*X216)+
                                               ((Q216*W216)*(X216-(X216*LESS_FOR_L)))
                                    )*IF(R216=0,1,R216))))))+Z216), 0.25)</f>
        <v>5</v>
      </c>
      <c r="Z216" s="22"/>
      <c r="AA216" s="157">
        <f>Y216+Y216*VLOOKUP(I216,EXTRAS_ARRAY,2,FALSE)</f>
        <v>5</v>
      </c>
      <c r="AB216" s="20" t="s">
        <v>544</v>
      </c>
      <c r="AC216" s="34"/>
      <c r="AD216" s="23" t="str">
        <f>IF(J216&lt;&gt;"Yes",
IF(S216&lt;=0,"Error: Effort value is not defined or is invalid.",
IF(AND(SUM(U216:W216)&gt;0,SUM(U216:W216)&lt;&gt;1),"Error: Complexity % distribution should sum to 100%.",
IF(AND(P216=AS_DEV_EFFORT,X216&lt;&gt;0),"Error: PDs should not be defined when defining as dev effort %.",
IF(AND(P216=AS_DURATION_EFFORT,X216&lt;&gt;0),"Error: PDs should not be defined when defining as duration effort %.","")))))</f>
        <v/>
      </c>
    </row>
    <row r="217" spans="1:30" s="9" customFormat="1" ht="7.5" hidden="1" customHeight="1" outlineLevel="2" x14ac:dyDescent="0.2">
      <c r="A217" s="86" t="s">
        <v>132</v>
      </c>
      <c r="B217" s="15"/>
      <c r="C217" s="72"/>
      <c r="D217" s="72"/>
      <c r="E217" s="72"/>
      <c r="F217" s="72"/>
      <c r="M217" s="252"/>
      <c r="T217" s="15"/>
      <c r="X217" s="15"/>
      <c r="AB217" s="10"/>
      <c r="AC217" s="10"/>
      <c r="AD217" s="10"/>
    </row>
    <row r="218" spans="1:30" s="14" customFormat="1" ht="16" hidden="1" outlineLevel="1" collapsed="1" x14ac:dyDescent="0.2">
      <c r="A218" s="86" t="s">
        <v>100</v>
      </c>
      <c r="B218" s="18"/>
      <c r="C218" s="77"/>
      <c r="D218" s="77"/>
      <c r="E218" s="77"/>
      <c r="F218" s="76"/>
      <c r="G218" s="29"/>
      <c r="H218" s="29"/>
      <c r="I218" s="29"/>
      <c r="J218" s="29"/>
      <c r="K218" s="29"/>
      <c r="L218" s="17">
        <f ca="1">LOOKUP(1000,INDIRECT("L1:"&amp;CELL("address",INDIRECT("R[-1]C",FALSE))))+1</f>
        <v>5</v>
      </c>
      <c r="M218" s="274" t="s">
        <v>532</v>
      </c>
      <c r="N218" s="274"/>
      <c r="O218" s="5"/>
      <c r="P218" s="30"/>
      <c r="Q218" s="30"/>
      <c r="R218" s="30"/>
      <c r="S218" s="30"/>
      <c r="T218" s="155">
        <f>IF($S$6="Exclude", SUMIFS(S219:S224, J219:J224, "&lt;&gt;Yes", G219:G224, "&lt;&gt;Yes"), SUMIFS(S219:S224, J219:J224, "&lt;&gt;Yes"))</f>
        <v>0</v>
      </c>
      <c r="U218" s="30"/>
      <c r="V218" s="30"/>
      <c r="W218" s="30"/>
      <c r="X218" s="31"/>
      <c r="Y218" s="32"/>
      <c r="Z218" s="32"/>
      <c r="AA218" s="32"/>
      <c r="AB218" s="219"/>
      <c r="AC218" s="33"/>
      <c r="AD218" s="23" t="str">
        <f>IF(M218="", "Error: Task name cannot be empty.", "")</f>
        <v/>
      </c>
    </row>
    <row r="219" spans="1:30" s="12" customFormat="1" ht="1.5" hidden="1" customHeight="1" outlineLevel="2" x14ac:dyDescent="0.2">
      <c r="A219" s="86" t="s">
        <v>101</v>
      </c>
      <c r="B219" s="18"/>
      <c r="C219" s="77"/>
      <c r="D219" s="77"/>
      <c r="E219" s="77"/>
      <c r="F219" s="76"/>
      <c r="G219" s="29"/>
      <c r="H219" s="29"/>
      <c r="I219" s="29"/>
      <c r="J219" s="29"/>
      <c r="K219" s="29"/>
      <c r="L219" s="163">
        <f ca="1">L218</f>
        <v>5</v>
      </c>
      <c r="M219" s="164" t="s">
        <v>105</v>
      </c>
      <c r="N219" s="161"/>
      <c r="O219" s="162"/>
      <c r="P219" s="30"/>
      <c r="Q219" s="30"/>
      <c r="R219" s="30"/>
      <c r="S219" s="30"/>
      <c r="T219" s="155"/>
      <c r="U219" s="30"/>
      <c r="V219" s="30"/>
      <c r="W219" s="30"/>
      <c r="X219" s="31"/>
      <c r="Y219" s="32"/>
      <c r="Z219" s="32"/>
      <c r="AA219" s="32"/>
      <c r="AB219" s="33"/>
      <c r="AC219" s="33"/>
      <c r="AD219" s="23"/>
    </row>
    <row r="220" spans="1:30" ht="48" hidden="1" outlineLevel="2" x14ac:dyDescent="0.2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 t="str">
        <f ca="1">IFERROR(OFFSET(M220,-1,,1,1)+0.1,OFFSET(M220,-1,-1,1,1)&amp;".1")</f>
        <v>5.1</v>
      </c>
      <c r="N220" s="20" t="s">
        <v>533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0</v>
      </c>
      <c r="T220" s="158"/>
      <c r="U220" s="21">
        <v>0</v>
      </c>
      <c r="V220" s="21">
        <v>1</v>
      </c>
      <c r="W220" s="21">
        <v>0</v>
      </c>
      <c r="X220" s="156"/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0</v>
      </c>
      <c r="Z220" s="22"/>
      <c r="AA220" s="157">
        <f>Y220+Y220*VLOOKUP(I220,EXTRAS_ARRAY,2,FALSE)</f>
        <v>0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>Error: Effort value is not defined or is invalid.</v>
      </c>
    </row>
    <row r="221" spans="1:30" ht="48" hidden="1" outlineLevel="2" x14ac:dyDescent="0.2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5.1999999999999993</v>
      </c>
      <c r="N221" s="20" t="s">
        <v>534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0</v>
      </c>
      <c r="T221" s="158"/>
      <c r="U221" s="21">
        <v>0</v>
      </c>
      <c r="V221" s="21">
        <v>1</v>
      </c>
      <c r="W221" s="21">
        <v>0</v>
      </c>
      <c r="X221" s="156"/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0</v>
      </c>
      <c r="Z221" s="22"/>
      <c r="AA221" s="157">
        <f>Y221+Y221*VLOOKUP(I221,EXTRAS_ARRAY,2,FALSE)</f>
        <v>0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>Error: Effort value is not defined or is invalid.</v>
      </c>
    </row>
    <row r="222" spans="1:30" ht="48" hidden="1" outlineLevel="2" x14ac:dyDescent="0.2">
      <c r="A222" s="86" t="s">
        <v>0</v>
      </c>
      <c r="B222" s="18"/>
      <c r="C222" s="78"/>
      <c r="D222" s="78"/>
      <c r="E222" s="78"/>
      <c r="F222" s="79"/>
      <c r="G222" s="19" t="s">
        <v>23</v>
      </c>
      <c r="H222" s="19" t="s">
        <v>23</v>
      </c>
      <c r="I222" s="20" t="s">
        <v>23</v>
      </c>
      <c r="J222" s="19" t="s">
        <v>23</v>
      </c>
      <c r="K222" s="35"/>
      <c r="L222" s="19"/>
      <c r="M222" s="263">
        <f ca="1">IFERROR(OFFSET(M222,-1,,1,1)+0.1,OFFSET(M222,-1,-1,1,1)&amp;".1")</f>
        <v>5.2999999999999989</v>
      </c>
      <c r="N222" s="20" t="s">
        <v>535</v>
      </c>
      <c r="O222" s="20"/>
      <c r="P222" s="20"/>
      <c r="Q222" s="134"/>
      <c r="R222" s="127"/>
      <c r="S222" s="157">
        <f>CEILING((IF(J222="Yes", 0, IF(H222="-",AA222,AA222+AA222*VLOOKUP(H222,BUFFERS_BY_TYPE,2,FALSE)))) +
   (IF(J222="Yes", 0, IF(H222="-",AA222,AA222+AA222*VLOOKUP(H222,BUFFERS_BY_TYPE,2,FALSE))))*VLOOKUP($S$5, SALES_CALL_SCALE_ARRAY, 2,FALSE),0.25)</f>
        <v>0</v>
      </c>
      <c r="T222" s="158"/>
      <c r="U222" s="21">
        <v>0</v>
      </c>
      <c r="V222" s="21">
        <v>1</v>
      </c>
      <c r="W222" s="21">
        <v>0</v>
      </c>
      <c r="X222" s="156"/>
      <c r="Y222" s="157">
        <f>CEILING((IF(P222=AS_DEV_EFFORT, DEV_EFFORT*Q222%,
                           IF(P222=AS_DURATION_EFFORT, (MANUAL_DURATION*5)*Q222%,
                                    (IF(Q222&lt;=1,X222,
                                          IF(SUM(U222:W222)=0,(Q222*X222),
                                               (((Q222*U222)*(X222+(X222*EXTRA_FOR_H)))+
                                               ((Q222*V222)*X222)+
                                               ((Q222*W222)*(X222-(X222*LESS_FOR_L)))
                                    )*IF(R222=0,1,R222))))))+Z222), 0.25)</f>
        <v>0</v>
      </c>
      <c r="Z222" s="22"/>
      <c r="AA222" s="157">
        <f>Y222+Y222*VLOOKUP(I222,EXTRAS_ARRAY,2,FALSE)</f>
        <v>0</v>
      </c>
      <c r="AB222" s="20"/>
      <c r="AC222" s="34"/>
      <c r="AD222" s="23" t="str">
        <f>IF(J222&lt;&gt;"Yes",
IF(S222&lt;=0,"Error: Effort value is not defined or is invalid.",
IF(AND(SUM(U222:W222)&gt;0,SUM(U222:W222)&lt;&gt;1),"Error: Complexity % distribution should sum to 100%.",
IF(AND(P222=AS_DEV_EFFORT,X222&lt;&gt;0),"Error: PDs should not be defined when defining as dev effort %.",
IF(AND(P222=AS_DURATION_EFFORT,X222&lt;&gt;0),"Error: PDs should not be defined when defining as duration effort %.","")))))</f>
        <v>Error: Effort value is not defined or is invalid.</v>
      </c>
    </row>
    <row r="223" spans="1:30" ht="48" hidden="1" outlineLevel="2" x14ac:dyDescent="0.2">
      <c r="A223" s="86" t="s">
        <v>0</v>
      </c>
      <c r="B223" s="18"/>
      <c r="C223" s="78"/>
      <c r="D223" s="78"/>
      <c r="E223" s="78"/>
      <c r="F223" s="79"/>
      <c r="G223" s="19" t="s">
        <v>23</v>
      </c>
      <c r="H223" s="19" t="s">
        <v>23</v>
      </c>
      <c r="I223" s="20" t="s">
        <v>23</v>
      </c>
      <c r="J223" s="19" t="s">
        <v>23</v>
      </c>
      <c r="K223" s="35"/>
      <c r="L223" s="19"/>
      <c r="M223" s="263">
        <f ca="1">IFERROR(OFFSET(M223,-1,,1,1)+0.1,OFFSET(M223,-1,-1,1,1)&amp;".1")</f>
        <v>5.3999999999999986</v>
      </c>
      <c r="N223" s="20" t="s">
        <v>536</v>
      </c>
      <c r="O223" s="20"/>
      <c r="P223" s="20"/>
      <c r="Q223" s="134"/>
      <c r="R223" s="127"/>
      <c r="S223" s="157">
        <f>CEILING((IF(J223="Yes", 0, IF(H223="-",AA223,AA223+AA223*VLOOKUP(H223,BUFFERS_BY_TYPE,2,FALSE)))) +
   (IF(J223="Yes", 0, IF(H223="-",AA223,AA223+AA223*VLOOKUP(H223,BUFFERS_BY_TYPE,2,FALSE))))*VLOOKUP($S$5, SALES_CALL_SCALE_ARRAY, 2,FALSE),0.25)</f>
        <v>0</v>
      </c>
      <c r="T223" s="158"/>
      <c r="U223" s="21">
        <v>0</v>
      </c>
      <c r="V223" s="21">
        <v>1</v>
      </c>
      <c r="W223" s="21">
        <v>0</v>
      </c>
      <c r="X223" s="156"/>
      <c r="Y223" s="157">
        <f>CEILING((IF(P223=AS_DEV_EFFORT, DEV_EFFORT*Q223%,
                           IF(P223=AS_DURATION_EFFORT, (MANUAL_DURATION*5)*Q223%,
                                    (IF(Q223&lt;=1,X223,
                                          IF(SUM(U223:W223)=0,(Q223*X223),
                                               (((Q223*U223)*(X223+(X223*EXTRA_FOR_H)))+
                                               ((Q223*V223)*X223)+
                                               ((Q223*W223)*(X223-(X223*LESS_FOR_L)))
                                    )*IF(R223=0,1,R223))))))+Z223), 0.25)</f>
        <v>0</v>
      </c>
      <c r="Z223" s="22"/>
      <c r="AA223" s="157">
        <f>Y223+Y223*VLOOKUP(I223,EXTRAS_ARRAY,2,FALSE)</f>
        <v>0</v>
      </c>
      <c r="AB223" s="20"/>
      <c r="AC223" s="34"/>
      <c r="AD223" s="23" t="str">
        <f>IF(J223&lt;&gt;"Yes",
IF(S223&lt;=0,"Error: Effort value is not defined or is invalid.",
IF(AND(SUM(U223:W223)&gt;0,SUM(U223:W223)&lt;&gt;1),"Error: Complexity % distribution should sum to 100%.",
IF(AND(P223=AS_DEV_EFFORT,X223&lt;&gt;0),"Error: PDs should not be defined when defining as dev effort %.",
IF(AND(P223=AS_DURATION_EFFORT,X223&lt;&gt;0),"Error: PDs should not be defined when defining as duration effort %.","")))))</f>
        <v>Error: Effort value is not defined or is invalid.</v>
      </c>
    </row>
    <row r="224" spans="1:30" s="9" customFormat="1" ht="7.5" hidden="1" customHeight="1" outlineLevel="2" x14ac:dyDescent="0.2">
      <c r="A224" s="86" t="s">
        <v>132</v>
      </c>
      <c r="B224" s="15"/>
      <c r="C224" s="72"/>
      <c r="D224" s="72"/>
      <c r="E224" s="72"/>
      <c r="F224" s="72"/>
      <c r="M224" s="252"/>
      <c r="T224" s="15"/>
      <c r="X224" s="15"/>
      <c r="AB224" s="10"/>
      <c r="AC224" s="10"/>
      <c r="AD224" s="10"/>
    </row>
    <row r="225" spans="1:30" s="9" customFormat="1" ht="3" hidden="1" customHeight="1" outlineLevel="1" x14ac:dyDescent="0.2">
      <c r="A225" s="86" t="s">
        <v>102</v>
      </c>
      <c r="C225" s="72"/>
      <c r="D225" s="72"/>
      <c r="E225" s="72"/>
      <c r="F225" s="72"/>
      <c r="G225" s="25"/>
      <c r="H225" s="25"/>
      <c r="I225" s="25"/>
      <c r="J225" s="25"/>
      <c r="K225" s="25"/>
      <c r="L225" s="56"/>
      <c r="M225" s="264"/>
      <c r="N225" s="57"/>
      <c r="O225" s="57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7"/>
      <c r="AC225" s="57"/>
      <c r="AD225" s="10"/>
    </row>
    <row r="226" spans="1:30" s="14" customFormat="1" ht="19" collapsed="1" x14ac:dyDescent="0.2">
      <c r="A226" s="86" t="s">
        <v>98</v>
      </c>
      <c r="B226" s="12"/>
      <c r="C226" s="73"/>
      <c r="D226" s="73"/>
      <c r="E226" s="73"/>
      <c r="F226" s="72"/>
      <c r="G226" s="52"/>
      <c r="H226" s="52"/>
      <c r="I226" s="52"/>
      <c r="J226" s="52"/>
      <c r="K226" s="52"/>
      <c r="L226" s="52" t="s">
        <v>83</v>
      </c>
      <c r="M226" s="261" t="s">
        <v>76</v>
      </c>
      <c r="N226" s="53"/>
      <c r="O226" s="54"/>
      <c r="P226" s="55"/>
      <c r="Q226" s="55"/>
      <c r="R226" s="55"/>
      <c r="S226" s="277">
        <f>CEILING(SUMIF(J227:J232, "&lt;&gt;Yes", T227:T232),1)</f>
        <v>26</v>
      </c>
      <c r="T226" s="277"/>
      <c r="U226" s="55"/>
      <c r="V226" s="55"/>
      <c r="W226" s="55"/>
      <c r="X226" s="55"/>
      <c r="Y226" s="55"/>
      <c r="Z226" s="55"/>
      <c r="AA226" s="55"/>
      <c r="AB226" s="55"/>
      <c r="AC226" s="55"/>
      <c r="AD226" s="13"/>
    </row>
    <row r="227" spans="1:30" s="9" customFormat="1" ht="3" hidden="1" customHeight="1" outlineLevel="1" x14ac:dyDescent="0.2">
      <c r="A227" s="86" t="s">
        <v>99</v>
      </c>
      <c r="B227" s="15"/>
      <c r="C227" s="72"/>
      <c r="D227" s="72"/>
      <c r="E227" s="72"/>
      <c r="F227" s="72"/>
      <c r="G227" s="25"/>
      <c r="H227" s="25"/>
      <c r="I227" s="25"/>
      <c r="J227" s="25"/>
      <c r="K227" s="25"/>
      <c r="L227" s="26">
        <v>0</v>
      </c>
      <c r="M227" s="262"/>
      <c r="N227" s="25"/>
      <c r="O227" s="25"/>
      <c r="P227" s="25"/>
      <c r="Q227" s="25"/>
      <c r="R227" s="25"/>
      <c r="S227" s="25"/>
      <c r="T227" s="27"/>
      <c r="U227" s="25"/>
      <c r="V227" s="25"/>
      <c r="W227" s="25"/>
      <c r="X227" s="27"/>
      <c r="Y227" s="25"/>
      <c r="Z227" s="25"/>
      <c r="AA227" s="25"/>
      <c r="AB227" s="28"/>
      <c r="AC227" s="28"/>
      <c r="AD227" s="10"/>
    </row>
    <row r="228" spans="1:30" s="14" customFormat="1" ht="16" hidden="1" outlineLevel="1" collapsed="1" x14ac:dyDescent="0.2">
      <c r="A228" s="86" t="s">
        <v>100</v>
      </c>
      <c r="B228" s="18"/>
      <c r="C228" s="77"/>
      <c r="D228" s="77"/>
      <c r="E228" s="77"/>
      <c r="F228" s="76"/>
      <c r="G228" s="29"/>
      <c r="H228" s="29"/>
      <c r="I228" s="29"/>
      <c r="J228" s="29"/>
      <c r="K228" s="29"/>
      <c r="L228" s="17">
        <f ca="1">LOOKUP(1000,INDIRECT("L1:"&amp;CELL("address",INDIRECT("R[-1]C",FALSE))))+1</f>
        <v>1</v>
      </c>
      <c r="M228" s="274" t="s">
        <v>545</v>
      </c>
      <c r="N228" s="274"/>
      <c r="O228" s="5"/>
      <c r="P228" s="30"/>
      <c r="Q228" s="30"/>
      <c r="R228" s="30"/>
      <c r="S228" s="30"/>
      <c r="T228" s="155">
        <f>IF($S$6="Exclude", SUMIFS(S229:S231, J229:J231, "&lt;&gt;Yes", G229:G231, "&lt;&gt;Yes"), SUMIFS(S229:S231, J229:J231, "&lt;&gt;Yes"))</f>
        <v>25.5</v>
      </c>
      <c r="U228" s="30"/>
      <c r="V228" s="30"/>
      <c r="W228" s="30"/>
      <c r="X228" s="31"/>
      <c r="Y228" s="32"/>
      <c r="Z228" s="32"/>
      <c r="AA228" s="32"/>
      <c r="AB228" s="219"/>
      <c r="AC228" s="33"/>
      <c r="AD228" s="23" t="str">
        <f>IF(M228="", "Error: Task name cannot be empty.", "")</f>
        <v/>
      </c>
    </row>
    <row r="229" spans="1:30" s="12" customFormat="1" ht="1.5" hidden="1" customHeight="1" outlineLevel="2" x14ac:dyDescent="0.2">
      <c r="A229" s="86" t="s">
        <v>101</v>
      </c>
      <c r="B229" s="18"/>
      <c r="C229" s="77"/>
      <c r="D229" s="77"/>
      <c r="E229" s="77"/>
      <c r="F229" s="76"/>
      <c r="G229" s="29"/>
      <c r="H229" s="29"/>
      <c r="I229" s="29"/>
      <c r="J229" s="29"/>
      <c r="K229" s="29"/>
      <c r="L229" s="163">
        <f ca="1">L228</f>
        <v>1</v>
      </c>
      <c r="M229" s="164" t="s">
        <v>105</v>
      </c>
      <c r="N229" s="161"/>
      <c r="O229" s="162"/>
      <c r="P229" s="30"/>
      <c r="Q229" s="30"/>
      <c r="R229" s="30"/>
      <c r="S229" s="30"/>
      <c r="T229" s="155"/>
      <c r="U229" s="30"/>
      <c r="V229" s="30"/>
      <c r="W229" s="30"/>
      <c r="X229" s="31"/>
      <c r="Y229" s="32"/>
      <c r="Z229" s="32"/>
      <c r="AA229" s="32"/>
      <c r="AB229" s="33"/>
      <c r="AC229" s="33"/>
      <c r="AD229" s="23"/>
    </row>
    <row r="230" spans="1:30" ht="16" hidden="1" outlineLevel="2" x14ac:dyDescent="0.2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 t="str">
        <f ca="1">IFERROR(OFFSET(M230,-1,,1,1)+0.1,OFFSET(M230,-1,-1,1,1)&amp;".1")</f>
        <v>1.1</v>
      </c>
      <c r="N230" s="20" t="s">
        <v>546</v>
      </c>
      <c r="O230" s="20" t="s">
        <v>547</v>
      </c>
      <c r="P230" s="251">
        <v>0.1</v>
      </c>
      <c r="Q230" s="134"/>
      <c r="R230" s="127"/>
      <c r="S230" s="157">
        <f>CEILING((IF(J230="Yes", 0, IF(H230="-",AA230,AA230+AA230*VLOOKUP(H230,BUFFERS_BY_TYPE,2,FALSE)))) +
   (IF(J230="Yes", 0, IF(H230="-",AA230,AA230+AA230*VLOOKUP(H230,BUFFERS_BY_TYPE,2,FALSE))))*VLOOKUP($S$5, SALES_CALL_SCALE_ARRAY, 2,FALSE),0.25)</f>
        <v>25.5</v>
      </c>
      <c r="T230" s="158"/>
      <c r="U230" s="21">
        <v>0</v>
      </c>
      <c r="V230" s="21">
        <v>1</v>
      </c>
      <c r="W230" s="21">
        <v>0</v>
      </c>
      <c r="X230" s="156">
        <f>(REQ_EFFORT+DESIGN_EFFORT+DEV_EFFORT+QA_EFFORT+UAT_EFFORT) * P230</f>
        <v>25.3</v>
      </c>
      <c r="Y230" s="157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25.5</v>
      </c>
      <c r="Z230" s="22"/>
      <c r="AA230" s="157">
        <f>Y230+Y230*VLOOKUP(I230,EXTRAS_ARRAY,2,FALSE)</f>
        <v>25.5</v>
      </c>
      <c r="AB230" s="20"/>
      <c r="AC230" s="34"/>
      <c r="AD230" s="23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/>
      </c>
    </row>
    <row r="231" spans="1:30" s="9" customFormat="1" ht="7.5" hidden="1" customHeight="1" outlineLevel="2" x14ac:dyDescent="0.2">
      <c r="A231" s="86" t="s">
        <v>132</v>
      </c>
      <c r="B231" s="15"/>
      <c r="C231" s="72"/>
      <c r="D231" s="72"/>
      <c r="E231" s="72"/>
      <c r="F231" s="72"/>
      <c r="M231" s="252"/>
      <c r="T231" s="15"/>
      <c r="X231" s="15"/>
      <c r="AB231" s="10"/>
      <c r="AC231" s="10"/>
      <c r="AD231" s="10"/>
    </row>
    <row r="232" spans="1:30" s="9" customFormat="1" ht="3" hidden="1" customHeight="1" outlineLevel="1" x14ac:dyDescent="0.2">
      <c r="A232" s="86" t="s">
        <v>102</v>
      </c>
      <c r="C232" s="72"/>
      <c r="D232" s="72"/>
      <c r="E232" s="72"/>
      <c r="F232" s="72"/>
      <c r="G232" s="25"/>
      <c r="H232" s="25"/>
      <c r="I232" s="25"/>
      <c r="J232" s="25"/>
      <c r="K232" s="25"/>
      <c r="L232" s="56"/>
      <c r="M232" s="264"/>
      <c r="N232" s="57"/>
      <c r="O232" s="57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7"/>
      <c r="AC232" s="57"/>
      <c r="AD232" s="10"/>
    </row>
    <row r="233" spans="1:30" s="9" customFormat="1" ht="20.25" customHeight="1" x14ac:dyDescent="0.2">
      <c r="A233" s="86" t="s">
        <v>103</v>
      </c>
      <c r="C233" s="72"/>
      <c r="D233" s="72"/>
      <c r="E233" s="72"/>
      <c r="F233" s="72"/>
      <c r="G233" s="40"/>
      <c r="H233" s="40"/>
      <c r="I233" s="40"/>
      <c r="J233" s="40"/>
      <c r="K233" s="40"/>
      <c r="L233" s="136"/>
      <c r="M233" s="258"/>
      <c r="N233" s="40"/>
      <c r="O233" s="40"/>
      <c r="P233" s="40"/>
      <c r="Q233" s="40"/>
      <c r="R233" s="40"/>
      <c r="S233" s="278">
        <f>TOTAL_EFFORT</f>
        <v>279</v>
      </c>
      <c r="T233" s="278"/>
      <c r="U233" s="40"/>
      <c r="V233" s="40"/>
      <c r="W233" s="40"/>
      <c r="X233" s="40"/>
      <c r="Y233" s="40"/>
      <c r="Z233" s="40"/>
      <c r="AA233" s="40"/>
      <c r="AB233" s="135"/>
      <c r="AC233" s="40"/>
      <c r="AD233" s="10"/>
    </row>
    <row r="234" spans="1:30" s="9" customFormat="1" x14ac:dyDescent="0.2">
      <c r="A234" s="86"/>
      <c r="C234" s="74"/>
      <c r="D234" s="74"/>
      <c r="E234" s="74"/>
      <c r="F234" s="72"/>
      <c r="M234" s="252"/>
      <c r="N234" s="10"/>
      <c r="O234" s="10"/>
      <c r="AB234" s="10"/>
      <c r="AC234" s="10"/>
      <c r="AD234" s="10"/>
    </row>
    <row r="235" spans="1:30" s="9" customFormat="1" ht="20.25" customHeight="1" collapsed="1" x14ac:dyDescent="0.2">
      <c r="A235" s="86"/>
      <c r="C235" s="72"/>
      <c r="D235" s="72"/>
      <c r="E235" s="72"/>
      <c r="F235" s="72"/>
      <c r="G235" s="284" t="s">
        <v>48</v>
      </c>
      <c r="H235" s="284"/>
      <c r="I235" s="165"/>
      <c r="J235" s="40"/>
      <c r="K235" s="40"/>
      <c r="L235" s="36"/>
      <c r="M235" s="265" t="s">
        <v>154</v>
      </c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10"/>
    </row>
    <row r="236" spans="1:30" s="9" customFormat="1" hidden="1" outlineLevel="1" x14ac:dyDescent="0.2">
      <c r="A236" s="86"/>
      <c r="C236" s="74"/>
      <c r="D236" s="74"/>
      <c r="E236" s="74"/>
      <c r="F236" s="72"/>
      <c r="G236" s="25"/>
      <c r="H236" s="25"/>
      <c r="I236" s="25"/>
      <c r="J236" s="25"/>
      <c r="K236" s="25"/>
      <c r="L236" s="25"/>
      <c r="M236" s="262"/>
      <c r="N236" s="28"/>
      <c r="O236" s="28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8"/>
      <c r="AC236" s="28"/>
      <c r="AD236" s="10"/>
    </row>
    <row r="237" spans="1:30" s="9" customFormat="1" ht="15" hidden="1" customHeight="1" outlineLevel="1" x14ac:dyDescent="0.2">
      <c r="A237" s="86"/>
      <c r="C237" s="74"/>
      <c r="D237" s="74"/>
      <c r="E237" s="74"/>
      <c r="F237" s="72"/>
      <c r="G237" s="25"/>
      <c r="H237" s="25"/>
      <c r="I237" s="25"/>
      <c r="J237" s="25"/>
      <c r="K237" s="25"/>
      <c r="L237" s="25"/>
      <c r="M237" s="301" t="s">
        <v>454</v>
      </c>
      <c r="N237" s="301"/>
      <c r="O237" s="301"/>
      <c r="P237" s="301"/>
      <c r="Q237" s="301"/>
      <c r="R237" s="301"/>
      <c r="S237" s="301"/>
      <c r="T237" s="301"/>
      <c r="U237" s="28"/>
      <c r="V237" s="28"/>
      <c r="W237" s="28"/>
      <c r="X237" s="25"/>
      <c r="Y237" s="25"/>
      <c r="Z237" s="25"/>
      <c r="AA237" s="25"/>
      <c r="AB237" s="28"/>
      <c r="AC237" s="28"/>
      <c r="AD237" s="10"/>
    </row>
    <row r="238" spans="1:30" s="9" customFormat="1" hidden="1" outlineLevel="1" x14ac:dyDescent="0.2">
      <c r="A238" s="86"/>
      <c r="C238" s="74"/>
      <c r="D238" s="74"/>
      <c r="E238" s="74"/>
      <c r="F238" s="72"/>
      <c r="G238" s="25"/>
      <c r="H238" s="25"/>
      <c r="I238" s="25"/>
      <c r="J238" s="25"/>
      <c r="K238" s="25"/>
      <c r="L238" s="25"/>
      <c r="M238" s="301"/>
      <c r="N238" s="301"/>
      <c r="O238" s="301"/>
      <c r="P238" s="301"/>
      <c r="Q238" s="301"/>
      <c r="R238" s="301"/>
      <c r="S238" s="301"/>
      <c r="T238" s="301"/>
      <c r="U238" s="28"/>
      <c r="V238" s="28"/>
      <c r="W238" s="28"/>
      <c r="X238" s="25"/>
      <c r="Y238" s="25"/>
      <c r="Z238" s="25"/>
      <c r="AA238" s="25"/>
      <c r="AB238" s="28"/>
      <c r="AC238" s="28"/>
      <c r="AD238" s="10"/>
    </row>
    <row r="239" spans="1:30" s="9" customFormat="1" ht="3.75" hidden="1" customHeight="1" outlineLevel="1" x14ac:dyDescent="0.2">
      <c r="A239" s="86"/>
      <c r="C239" s="74"/>
      <c r="D239" s="74"/>
      <c r="E239" s="74"/>
      <c r="F239" s="72"/>
      <c r="G239" s="25"/>
      <c r="H239" s="25"/>
      <c r="I239" s="25"/>
      <c r="J239" s="25"/>
      <c r="K239" s="25"/>
      <c r="L239" s="25"/>
      <c r="M239" s="262"/>
      <c r="N239" s="28"/>
      <c r="O239" s="28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8"/>
      <c r="AC239" s="28"/>
      <c r="AD239" s="10"/>
    </row>
    <row r="240" spans="1:30" s="9" customFormat="1" ht="16" hidden="1" outlineLevel="1" x14ac:dyDescent="0.2">
      <c r="A240" s="86"/>
      <c r="C240" s="74"/>
      <c r="D240" s="74"/>
      <c r="E240" s="74"/>
      <c r="F240" s="72"/>
      <c r="G240" s="25"/>
      <c r="H240" s="25"/>
      <c r="I240" s="25"/>
      <c r="J240" s="25"/>
      <c r="K240" s="25"/>
      <c r="L240" s="25"/>
      <c r="M240" s="266" t="s">
        <v>153</v>
      </c>
      <c r="N240" s="184" t="s">
        <v>3</v>
      </c>
      <c r="O240" s="188" t="s">
        <v>59</v>
      </c>
      <c r="P240" s="187" t="str">
        <f>"Cost ("&amp;CHOSEN_CURRENCY&amp;")"</f>
        <v>Cost (-)</v>
      </c>
      <c r="Q240" s="25"/>
      <c r="R240" s="220" t="s">
        <v>441</v>
      </c>
      <c r="S240" s="58" t="s">
        <v>453</v>
      </c>
      <c r="T240" s="230" t="s">
        <v>455</v>
      </c>
      <c r="U240" s="25"/>
      <c r="V240" s="25"/>
      <c r="W240" s="25"/>
      <c r="X240" s="25"/>
      <c r="Y240" s="25"/>
      <c r="Z240" s="25"/>
      <c r="AA240" s="25"/>
      <c r="AB240" s="28"/>
      <c r="AC240" s="28"/>
      <c r="AD240" s="10"/>
    </row>
    <row r="241" spans="1:30" s="9" customFormat="1" ht="3" hidden="1" customHeight="1" outlineLevel="1" x14ac:dyDescent="0.2">
      <c r="A241" s="86"/>
      <c r="C241" s="74"/>
      <c r="D241" s="74"/>
      <c r="E241" s="74"/>
      <c r="F241" s="72"/>
      <c r="G241" s="25"/>
      <c r="H241" s="25"/>
      <c r="I241" s="25"/>
      <c r="J241" s="25"/>
      <c r="K241" s="25"/>
      <c r="L241" s="25"/>
      <c r="M241" s="267"/>
      <c r="N241" s="245"/>
      <c r="O241" s="245"/>
      <c r="P241" s="244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8"/>
      <c r="AC241" s="28"/>
      <c r="AD241" s="10"/>
    </row>
    <row r="242" spans="1:30" s="9" customFormat="1" hidden="1" outlineLevel="1" x14ac:dyDescent="0.2">
      <c r="A242" s="86"/>
      <c r="C242" s="74"/>
      <c r="D242" s="74"/>
      <c r="E242" s="74"/>
      <c r="F242" s="72"/>
      <c r="G242" s="25"/>
      <c r="H242" s="25"/>
      <c r="I242" s="25"/>
      <c r="J242" s="25"/>
      <c r="K242" s="25"/>
      <c r="L242" s="25"/>
      <c r="M242" s="262"/>
      <c r="N242" s="28"/>
      <c r="O242" s="28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8"/>
      <c r="AC242" s="28"/>
      <c r="AD242" s="10"/>
    </row>
    <row r="243" spans="1:30" s="9" customFormat="1" hidden="1" outlineLevel="1" x14ac:dyDescent="0.2">
      <c r="A243" s="86"/>
      <c r="C243" s="74"/>
      <c r="D243" s="74"/>
      <c r="E243" s="74"/>
      <c r="F243" s="72"/>
      <c r="G243" s="25"/>
      <c r="H243" s="25"/>
      <c r="I243" s="25"/>
      <c r="J243" s="25"/>
      <c r="K243" s="25"/>
      <c r="L243" s="25"/>
      <c r="M243" s="262"/>
      <c r="N243" s="28"/>
      <c r="O243" s="28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8"/>
      <c r="AC243" s="28"/>
      <c r="AD243" s="10"/>
    </row>
    <row r="244" spans="1:30" s="9" customFormat="1" hidden="1" outlineLevel="1" x14ac:dyDescent="0.2">
      <c r="A244" s="86"/>
      <c r="C244" s="74"/>
      <c r="D244" s="74"/>
      <c r="E244" s="74"/>
      <c r="F244" s="72"/>
      <c r="G244" s="25"/>
      <c r="H244" s="25"/>
      <c r="I244" s="25"/>
      <c r="J244" s="25"/>
      <c r="K244" s="25"/>
      <c r="L244" s="25"/>
      <c r="M244" s="262"/>
      <c r="N244" s="28"/>
      <c r="O244" s="28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8"/>
      <c r="AC244" s="28"/>
      <c r="AD244" s="10"/>
    </row>
    <row r="245" spans="1:30" s="9" customFormat="1" hidden="1" outlineLevel="1" x14ac:dyDescent="0.2">
      <c r="A245" s="86"/>
      <c r="C245" s="74"/>
      <c r="D245" s="74"/>
      <c r="E245" s="74"/>
      <c r="F245" s="72"/>
      <c r="G245" s="25"/>
      <c r="H245" s="25"/>
      <c r="I245" s="25"/>
      <c r="J245" s="25"/>
      <c r="K245" s="25"/>
      <c r="L245" s="25"/>
      <c r="M245" s="262"/>
      <c r="N245" s="28"/>
      <c r="O245" s="28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8"/>
      <c r="AC245" s="28"/>
      <c r="AD245" s="10"/>
    </row>
    <row r="246" spans="1:30" s="9" customFormat="1" hidden="1" outlineLevel="1" x14ac:dyDescent="0.2">
      <c r="A246" s="86"/>
      <c r="C246" s="74"/>
      <c r="D246" s="74"/>
      <c r="E246" s="74"/>
      <c r="F246" s="72"/>
      <c r="G246" s="25"/>
      <c r="H246" s="25"/>
      <c r="I246" s="25"/>
      <c r="J246" s="25"/>
      <c r="K246" s="25"/>
      <c r="L246" s="25"/>
      <c r="M246" s="262"/>
      <c r="N246" s="28"/>
      <c r="O246" s="28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8"/>
      <c r="AC246" s="28"/>
      <c r="AD246" s="10"/>
    </row>
    <row r="247" spans="1:30" s="9" customFormat="1" ht="3" hidden="1" customHeight="1" outlineLevel="1" x14ac:dyDescent="0.2">
      <c r="A247" s="86"/>
      <c r="C247" s="74"/>
      <c r="D247" s="74"/>
      <c r="E247" s="74"/>
      <c r="F247" s="72"/>
      <c r="G247" s="25"/>
      <c r="H247" s="25"/>
      <c r="I247" s="25"/>
      <c r="J247" s="25"/>
      <c r="K247" s="25"/>
      <c r="L247" s="25"/>
      <c r="M247" s="267"/>
      <c r="N247" s="245"/>
      <c r="O247" s="245"/>
      <c r="P247" s="244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8"/>
      <c r="AC247" s="28"/>
      <c r="AD247" s="10"/>
    </row>
    <row r="248" spans="1:30" s="9" customFormat="1" hidden="1" outlineLevel="1" x14ac:dyDescent="0.2">
      <c r="A248" s="86"/>
      <c r="C248" s="74"/>
      <c r="D248" s="74"/>
      <c r="E248" s="74"/>
      <c r="F248" s="72"/>
      <c r="G248" s="25"/>
      <c r="H248" s="25"/>
      <c r="I248" s="25"/>
      <c r="J248" s="25"/>
      <c r="K248" s="25"/>
      <c r="L248" s="25"/>
      <c r="M248" s="268"/>
      <c r="N248" s="185"/>
      <c r="O248" s="186">
        <f>TOTAL_EFFORT</f>
        <v>279</v>
      </c>
      <c r="P248" s="186">
        <f>TOTAL_COST</f>
        <v>62496</v>
      </c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8"/>
      <c r="AC248" s="28"/>
      <c r="AD248" s="10"/>
    </row>
    <row r="249" spans="1:30" s="9" customFormat="1" hidden="1" outlineLevel="1" x14ac:dyDescent="0.2">
      <c r="A249" s="86"/>
      <c r="C249" s="74"/>
      <c r="D249" s="74"/>
      <c r="E249" s="74"/>
      <c r="F249" s="72"/>
      <c r="G249" s="25"/>
      <c r="H249" s="25"/>
      <c r="I249" s="25"/>
      <c r="J249" s="25"/>
      <c r="K249" s="25"/>
      <c r="L249" s="25"/>
      <c r="M249" s="262"/>
      <c r="N249" s="28"/>
      <c r="O249" s="28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8"/>
      <c r="AC249" s="28"/>
      <c r="AD249" s="10"/>
    </row>
    <row r="250" spans="1:30" s="9" customFormat="1" ht="20.25" hidden="1" customHeight="1" outlineLevel="1" x14ac:dyDescent="0.2">
      <c r="A250" s="86"/>
      <c r="C250" s="72"/>
      <c r="D250" s="72"/>
      <c r="E250" s="72"/>
      <c r="F250" s="72"/>
      <c r="G250" s="40"/>
      <c r="H250" s="40"/>
      <c r="I250" s="40"/>
      <c r="J250" s="40"/>
      <c r="K250" s="40"/>
      <c r="L250" s="40"/>
      <c r="M250" s="258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10"/>
    </row>
    <row r="251" spans="1:30" ht="15" customHeight="1" x14ac:dyDescent="0.2">
      <c r="F251" s="72"/>
    </row>
    <row r="252" spans="1:30" s="9" customFormat="1" ht="20.25" customHeight="1" collapsed="1" x14ac:dyDescent="0.2">
      <c r="A252" s="86"/>
      <c r="C252" s="72"/>
      <c r="D252" s="72"/>
      <c r="E252" s="72"/>
      <c r="F252" s="72"/>
      <c r="G252" s="284" t="s">
        <v>48</v>
      </c>
      <c r="H252" s="284"/>
      <c r="I252" s="165"/>
      <c r="J252" s="40"/>
      <c r="K252" s="40"/>
      <c r="L252" s="36"/>
      <c r="M252" s="265" t="s">
        <v>111</v>
      </c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10"/>
    </row>
    <row r="253" spans="1:30" hidden="1" outlineLevel="1" x14ac:dyDescent="0.2">
      <c r="F253" s="72"/>
      <c r="G253" s="58"/>
      <c r="H253" s="58"/>
      <c r="I253" s="58"/>
      <c r="J253" s="58"/>
      <c r="K253" s="58"/>
      <c r="L253" s="58"/>
      <c r="M253" s="270"/>
      <c r="N253" s="59"/>
      <c r="O253" s="59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9"/>
      <c r="AC253" s="28"/>
    </row>
    <row r="254" spans="1:30" hidden="1" outlineLevel="1" x14ac:dyDescent="0.2">
      <c r="F254" s="72"/>
      <c r="G254" s="58">
        <v>1</v>
      </c>
      <c r="H254" s="58"/>
      <c r="I254" s="58"/>
      <c r="J254" s="58"/>
      <c r="K254" s="58"/>
      <c r="L254" s="58"/>
      <c r="M254" s="270"/>
      <c r="N254" s="59"/>
      <c r="O254" s="59"/>
      <c r="P254" s="58"/>
      <c r="Q254" s="289" t="s">
        <v>79</v>
      </c>
      <c r="R254" s="289"/>
      <c r="S254" s="289"/>
      <c r="T254" s="289"/>
      <c r="U254" s="289"/>
      <c r="V254" s="289"/>
      <c r="W254" s="232"/>
      <c r="X254" s="58"/>
      <c r="Y254" s="58"/>
      <c r="Z254" s="58"/>
      <c r="AA254" s="58"/>
      <c r="AB254" s="59"/>
      <c r="AC254" s="28"/>
    </row>
    <row r="255" spans="1:30" ht="15" hidden="1" customHeight="1" outlineLevel="1" x14ac:dyDescent="0.2">
      <c r="B255" s="9" t="str">
        <f>IF(OR(COUNTBLANK(Q255:W255)&lt;&gt;0,SUM(Q255:W255)=0), ".", "")</f>
        <v/>
      </c>
      <c r="F255" s="72"/>
      <c r="G255" s="58">
        <v>2</v>
      </c>
      <c r="H255" s="58"/>
      <c r="I255" s="58"/>
      <c r="J255" s="58"/>
      <c r="K255" s="58"/>
      <c r="L255" s="58"/>
      <c r="M255" s="270"/>
      <c r="N255" s="59"/>
      <c r="O255" s="287" t="s">
        <v>29</v>
      </c>
      <c r="P255" s="287" t="s">
        <v>94</v>
      </c>
      <c r="Q255" s="50">
        <f>28 * 8</f>
        <v>224</v>
      </c>
      <c r="R255" s="50">
        <f t="shared" ref="R255:V255" si="15">28 * 8</f>
        <v>224</v>
      </c>
      <c r="S255" s="50">
        <f t="shared" si="15"/>
        <v>224</v>
      </c>
      <c r="T255" s="50">
        <f t="shared" si="15"/>
        <v>224</v>
      </c>
      <c r="U255" s="50">
        <f t="shared" si="15"/>
        <v>224</v>
      </c>
      <c r="V255" s="50">
        <f t="shared" si="15"/>
        <v>224</v>
      </c>
      <c r="W255" s="302" t="str">
        <f>CHOSEN_CURRENCY</f>
        <v>-</v>
      </c>
      <c r="X255" s="287"/>
      <c r="Y255" s="58"/>
      <c r="Z255" s="58"/>
      <c r="AA255" s="58"/>
      <c r="AB255" s="59"/>
      <c r="AC255" s="28"/>
    </row>
    <row r="256" spans="1:30" ht="15" hidden="1" customHeight="1" outlineLevel="1" x14ac:dyDescent="0.2">
      <c r="F256" s="72"/>
      <c r="G256" s="58">
        <v>3</v>
      </c>
      <c r="H256" s="58"/>
      <c r="I256" s="58"/>
      <c r="J256" s="58"/>
      <c r="K256" s="58"/>
      <c r="L256" s="58"/>
      <c r="M256" s="270"/>
      <c r="N256" s="59"/>
      <c r="O256" s="288"/>
      <c r="P256" s="288"/>
      <c r="Q256" s="271" t="s">
        <v>8</v>
      </c>
      <c r="R256" s="271" t="s">
        <v>9</v>
      </c>
      <c r="S256" s="271" t="s">
        <v>10</v>
      </c>
      <c r="T256" s="271" t="s">
        <v>12</v>
      </c>
      <c r="U256" s="271" t="s">
        <v>11</v>
      </c>
      <c r="V256" s="272" t="s">
        <v>13</v>
      </c>
      <c r="W256" s="303"/>
      <c r="X256" s="288"/>
      <c r="Y256" s="58"/>
      <c r="Z256" s="58"/>
      <c r="AA256" s="58"/>
      <c r="AB256" s="59"/>
      <c r="AC256" s="28"/>
    </row>
    <row r="257" spans="2:29" ht="15" hidden="1" customHeight="1" outlineLevel="1" x14ac:dyDescent="0.2">
      <c r="B257" s="9" t="str">
        <f t="shared" ref="B257:B262" si="16">IF(SUM(Q257:V257)&lt;&gt;1,".","")</f>
        <v/>
      </c>
      <c r="F257" s="72"/>
      <c r="G257" s="58">
        <v>4</v>
      </c>
      <c r="H257" s="58"/>
      <c r="I257" s="58"/>
      <c r="J257" s="58"/>
      <c r="K257" s="58"/>
      <c r="L257" s="62" t="s">
        <v>84</v>
      </c>
      <c r="M257" s="262" t="str">
        <f>$L$12</f>
        <v>A</v>
      </c>
      <c r="N257" s="28" t="str">
        <f>$M$12</f>
        <v>Discovery / Requirement Analysis</v>
      </c>
      <c r="O257" s="60">
        <f>S12</f>
        <v>137</v>
      </c>
      <c r="P257" s="94">
        <f>ROUND(REQ_EFFORT/5,0)</f>
        <v>27</v>
      </c>
      <c r="Q257" s="95">
        <v>0.85</v>
      </c>
      <c r="R257" s="246">
        <v>0.1</v>
      </c>
      <c r="S257" s="42"/>
      <c r="T257" s="42"/>
      <c r="U257" s="42"/>
      <c r="V257" s="43">
        <v>0.05</v>
      </c>
      <c r="W257" s="304">
        <f t="shared" ref="W257:W262" si="17">(($O257*Q257)*Q$255)+(($O257*R257)*R$255)+(($O257*S257)*S$255)+(($O257*T257)*T$255)+(($O257*U257)*U$255)+(($O257*V257)*V$255)</f>
        <v>30688</v>
      </c>
      <c r="X257" s="305"/>
      <c r="Y257" s="58"/>
      <c r="Z257" s="58"/>
      <c r="AA257" s="58"/>
      <c r="AB257" s="59"/>
      <c r="AC257" s="28"/>
    </row>
    <row r="258" spans="2:29" ht="16" hidden="1" outlineLevel="1" x14ac:dyDescent="0.2">
      <c r="B258" s="9" t="str">
        <f t="shared" si="16"/>
        <v/>
      </c>
      <c r="F258" s="72"/>
      <c r="G258" s="58">
        <v>5</v>
      </c>
      <c r="H258" s="58"/>
      <c r="I258" s="58"/>
      <c r="J258" s="58"/>
      <c r="K258" s="58"/>
      <c r="L258" s="62" t="s">
        <v>85</v>
      </c>
      <c r="M258" s="262" t="str">
        <f>$L$65</f>
        <v>B</v>
      </c>
      <c r="N258" s="28" t="str">
        <f>$M$65</f>
        <v>System Design, Framework and Test Cases</v>
      </c>
      <c r="O258" s="60">
        <f>S65</f>
        <v>6</v>
      </c>
      <c r="P258" s="94">
        <f>ROUND(DESIGN_EFFORT/5,0)</f>
        <v>1</v>
      </c>
      <c r="Q258" s="42"/>
      <c r="R258" s="247">
        <v>0.7</v>
      </c>
      <c r="S258" s="41">
        <v>0.2</v>
      </c>
      <c r="T258" s="42"/>
      <c r="U258" s="41">
        <v>0.1</v>
      </c>
      <c r="V258" s="44"/>
      <c r="W258" s="304">
        <f t="shared" si="17"/>
        <v>1344</v>
      </c>
      <c r="X258" s="305"/>
      <c r="Y258" s="58"/>
      <c r="Z258" s="58"/>
      <c r="AA258" s="58"/>
      <c r="AB258" s="59"/>
      <c r="AC258" s="28"/>
    </row>
    <row r="259" spans="2:29" ht="16" hidden="1" outlineLevel="1" x14ac:dyDescent="0.2">
      <c r="B259" s="9" t="str">
        <f t="shared" si="16"/>
        <v/>
      </c>
      <c r="F259" s="72"/>
      <c r="G259" s="58">
        <v>6</v>
      </c>
      <c r="H259" s="58"/>
      <c r="I259" s="58"/>
      <c r="J259" s="58"/>
      <c r="K259" s="58"/>
      <c r="L259" s="62" t="s">
        <v>87</v>
      </c>
      <c r="M259" s="262" t="str">
        <f>$L$101</f>
        <v>C</v>
      </c>
      <c r="N259" s="28" t="str">
        <f>$M$101</f>
        <v>Development and Unit Testing</v>
      </c>
      <c r="O259" s="60">
        <f>S101</f>
        <v>44</v>
      </c>
      <c r="P259" s="94">
        <f>ROUND(DEV_EFFORT/5,0)</f>
        <v>9</v>
      </c>
      <c r="Q259" s="42"/>
      <c r="R259" s="246"/>
      <c r="S259" s="41">
        <v>0.3</v>
      </c>
      <c r="T259" s="95">
        <v>0.7</v>
      </c>
      <c r="U259" s="42"/>
      <c r="V259" s="44"/>
      <c r="W259" s="304">
        <f t="shared" si="17"/>
        <v>9855.9999999999982</v>
      </c>
      <c r="X259" s="305"/>
      <c r="Y259" s="58"/>
      <c r="Z259" s="58"/>
      <c r="AA259" s="58"/>
      <c r="AB259" s="59"/>
      <c r="AC259" s="28"/>
    </row>
    <row r="260" spans="2:29" ht="16" hidden="1" outlineLevel="1" x14ac:dyDescent="0.2">
      <c r="B260" s="9" t="str">
        <f t="shared" si="16"/>
        <v/>
      </c>
      <c r="F260" s="72"/>
      <c r="G260" s="58">
        <v>7</v>
      </c>
      <c r="H260" s="58"/>
      <c r="I260" s="58"/>
      <c r="J260" s="58"/>
      <c r="K260" s="58"/>
      <c r="L260" s="62" t="s">
        <v>11</v>
      </c>
      <c r="M260" s="262" t="str">
        <f>$L$152</f>
        <v>D</v>
      </c>
      <c r="N260" s="28" t="str">
        <f>$M$152</f>
        <v>System Testing and Stabilization</v>
      </c>
      <c r="O260" s="60">
        <f>S152</f>
        <v>8</v>
      </c>
      <c r="P260" s="94">
        <f>ROUND(QA_EFFORT/5,0)</f>
        <v>2</v>
      </c>
      <c r="Q260" s="42"/>
      <c r="R260" s="246"/>
      <c r="S260" s="41">
        <v>0.1</v>
      </c>
      <c r="T260" s="41">
        <v>0.1</v>
      </c>
      <c r="U260" s="95">
        <v>0.8</v>
      </c>
      <c r="V260" s="44"/>
      <c r="W260" s="304">
        <f t="shared" si="17"/>
        <v>1792.0000000000002</v>
      </c>
      <c r="X260" s="305"/>
      <c r="Y260" s="58"/>
      <c r="Z260" s="58"/>
      <c r="AA260" s="58"/>
      <c r="AB260" s="59"/>
      <c r="AC260" s="28"/>
    </row>
    <row r="261" spans="2:29" ht="16" hidden="1" outlineLevel="1" x14ac:dyDescent="0.2">
      <c r="B261" s="9" t="str">
        <f t="shared" si="16"/>
        <v/>
      </c>
      <c r="F261" s="72"/>
      <c r="G261" s="58">
        <v>8</v>
      </c>
      <c r="H261" s="58"/>
      <c r="I261" s="58"/>
      <c r="J261" s="58"/>
      <c r="K261" s="58"/>
      <c r="L261" s="62" t="s">
        <v>86</v>
      </c>
      <c r="M261" s="262" t="str">
        <f>$L$195</f>
        <v>E</v>
      </c>
      <c r="N261" s="28" t="str">
        <f>$M$195</f>
        <v>Deployment, UAT and Documentation</v>
      </c>
      <c r="O261" s="60">
        <f>S195</f>
        <v>58</v>
      </c>
      <c r="P261" s="94">
        <f>ROUND(UAT_EFFORT/5,0)</f>
        <v>12</v>
      </c>
      <c r="Q261" s="42"/>
      <c r="R261" s="246"/>
      <c r="S261" s="41">
        <v>0.4</v>
      </c>
      <c r="T261" s="95">
        <v>0.4</v>
      </c>
      <c r="U261" s="41">
        <v>0.2</v>
      </c>
      <c r="V261" s="44"/>
      <c r="W261" s="304">
        <f t="shared" si="17"/>
        <v>12992.000000000004</v>
      </c>
      <c r="X261" s="305"/>
      <c r="Y261" s="58"/>
      <c r="Z261" s="58"/>
      <c r="AA261" s="58"/>
      <c r="AB261" s="59"/>
      <c r="AC261" s="28"/>
    </row>
    <row r="262" spans="2:29" ht="16" hidden="1" outlineLevel="1" x14ac:dyDescent="0.2">
      <c r="B262" s="9" t="str">
        <f t="shared" si="16"/>
        <v/>
      </c>
      <c r="F262" s="72"/>
      <c r="G262" s="58">
        <v>9</v>
      </c>
      <c r="H262" s="58"/>
      <c r="I262" s="58"/>
      <c r="J262" s="58"/>
      <c r="K262" s="58"/>
      <c r="L262" s="62" t="s">
        <v>76</v>
      </c>
      <c r="M262" s="262" t="str">
        <f>$L$226</f>
        <v>F</v>
      </c>
      <c r="N262" s="28" t="str">
        <f>$M$226</f>
        <v>Others</v>
      </c>
      <c r="O262" s="60">
        <f>S226</f>
        <v>26</v>
      </c>
      <c r="P262" s="94">
        <f>ROUND(OTHER_EFFORT/5,0)</f>
        <v>5</v>
      </c>
      <c r="Q262" s="42"/>
      <c r="R262" s="246">
        <v>0.2</v>
      </c>
      <c r="S262" s="95">
        <v>0.8</v>
      </c>
      <c r="T262" s="42"/>
      <c r="U262" s="42"/>
      <c r="V262" s="44"/>
      <c r="W262" s="306">
        <f t="shared" si="17"/>
        <v>5824</v>
      </c>
      <c r="X262" s="307"/>
      <c r="Y262" s="58"/>
      <c r="Z262" s="58"/>
      <c r="AA262" s="58"/>
      <c r="AB262" s="59"/>
      <c r="AC262" s="28"/>
    </row>
    <row r="263" spans="2:29" ht="21" hidden="1" outlineLevel="1" x14ac:dyDescent="0.2">
      <c r="F263" s="72"/>
      <c r="G263" s="58">
        <v>10</v>
      </c>
      <c r="H263" s="58"/>
      <c r="I263" s="58"/>
      <c r="J263" s="58"/>
      <c r="K263" s="58"/>
      <c r="L263" s="58"/>
      <c r="M263" s="270"/>
      <c r="N263" s="59"/>
      <c r="O263" s="238">
        <f>SUM(O257:O262)</f>
        <v>279</v>
      </c>
      <c r="P263" s="239">
        <f>SUM(P257:P262)</f>
        <v>56</v>
      </c>
      <c r="Q263" s="309" t="s">
        <v>116</v>
      </c>
      <c r="R263" s="309"/>
      <c r="S263" s="309"/>
      <c r="T263" s="309"/>
      <c r="U263" s="309"/>
      <c r="V263" s="309"/>
      <c r="W263" s="308">
        <f>SUM(W257:W262)</f>
        <v>62496</v>
      </c>
      <c r="X263" s="308"/>
      <c r="Y263" s="58"/>
      <c r="Z263" s="58"/>
      <c r="AA263" s="58"/>
      <c r="AB263" s="59"/>
      <c r="AC263" s="28"/>
    </row>
    <row r="264" spans="2:29" hidden="1" outlineLevel="1" x14ac:dyDescent="0.2">
      <c r="F264" s="72"/>
      <c r="G264" s="58"/>
      <c r="H264" s="58"/>
      <c r="I264" s="58"/>
      <c r="J264" s="58"/>
      <c r="K264" s="58"/>
      <c r="L264" s="58"/>
      <c r="M264" s="270"/>
      <c r="N264" s="59"/>
      <c r="O264" s="59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9"/>
      <c r="AC264" s="28"/>
    </row>
    <row r="265" spans="2:29" ht="15" hidden="1" customHeight="1" outlineLevel="1" x14ac:dyDescent="0.2">
      <c r="F265" s="72"/>
      <c r="G265" s="58"/>
      <c r="H265" s="58"/>
      <c r="I265" s="58"/>
      <c r="J265" s="58"/>
      <c r="K265" s="58"/>
      <c r="L265" s="58"/>
      <c r="M265" s="270"/>
      <c r="N265" s="59"/>
      <c r="O265" s="59"/>
      <c r="P265" s="58"/>
      <c r="Q265" s="286" t="s">
        <v>114</v>
      </c>
      <c r="R265" s="286"/>
      <c r="S265" s="286"/>
      <c r="T265" s="286"/>
      <c r="U265" s="286"/>
      <c r="V265" s="286"/>
      <c r="W265" s="310" t="s">
        <v>456</v>
      </c>
      <c r="X265" s="310"/>
      <c r="Y265" s="58"/>
      <c r="Z265" s="58"/>
      <c r="AA265" s="58"/>
      <c r="AB265" s="59"/>
      <c r="AC265" s="28"/>
    </row>
    <row r="266" spans="2:29" ht="15" hidden="1" customHeight="1" outlineLevel="1" x14ac:dyDescent="0.2">
      <c r="F266" s="72"/>
      <c r="G266" s="58"/>
      <c r="H266" s="58"/>
      <c r="I266" s="58"/>
      <c r="J266" s="58"/>
      <c r="K266" s="58"/>
      <c r="L266" s="58"/>
      <c r="M266" s="262"/>
      <c r="N266" s="28"/>
      <c r="O266" s="97" t="s">
        <v>112</v>
      </c>
      <c r="P266" s="98" t="s">
        <v>113</v>
      </c>
      <c r="Q266" s="271" t="s">
        <v>8</v>
      </c>
      <c r="R266" s="271" t="s">
        <v>9</v>
      </c>
      <c r="S266" s="271" t="s">
        <v>10</v>
      </c>
      <c r="T266" s="271" t="s">
        <v>12</v>
      </c>
      <c r="U266" s="271" t="s">
        <v>11</v>
      </c>
      <c r="V266" s="272" t="s">
        <v>13</v>
      </c>
      <c r="W266" s="310"/>
      <c r="X266" s="310"/>
      <c r="Y266" s="58"/>
      <c r="Z266" s="93"/>
      <c r="AA266" s="93"/>
      <c r="AB266" s="93"/>
      <c r="AC266" s="93"/>
    </row>
    <row r="267" spans="2:29" ht="15" hidden="1" customHeight="1" outlineLevel="1" x14ac:dyDescent="0.2">
      <c r="F267" s="72"/>
      <c r="G267" s="58"/>
      <c r="H267" s="58"/>
      <c r="I267" s="58"/>
      <c r="J267" s="58"/>
      <c r="K267" s="58"/>
      <c r="L267" s="58"/>
      <c r="M267" s="262" t="str">
        <f>$L$12</f>
        <v>A</v>
      </c>
      <c r="N267" s="28" t="str">
        <f>$M$12</f>
        <v>Discovery / Requirement Analysis</v>
      </c>
      <c r="O267" s="102">
        <v>42583</v>
      </c>
      <c r="P267" s="99">
        <f>O267+(((P257*REQ_BA_PERCENT)/REQ_BA_COUNT)*7)</f>
        <v>42663.324999999997</v>
      </c>
      <c r="Q267" s="96">
        <v>2</v>
      </c>
      <c r="R267" s="203">
        <v>1</v>
      </c>
      <c r="S267" s="92"/>
      <c r="T267" s="92"/>
      <c r="U267" s="92"/>
      <c r="V267" s="51">
        <v>1</v>
      </c>
      <c r="W267" s="236">
        <v>0.75</v>
      </c>
      <c r="X267" s="58"/>
      <c r="Y267" s="300" t="s">
        <v>194</v>
      </c>
      <c r="Z267" s="300"/>
      <c r="AA267" s="300"/>
      <c r="AB267" s="59"/>
      <c r="AC267" s="28"/>
    </row>
    <row r="268" spans="2:29" ht="16" hidden="1" outlineLevel="1" x14ac:dyDescent="0.2">
      <c r="F268" s="72"/>
      <c r="G268" s="58"/>
      <c r="H268" s="58"/>
      <c r="I268" s="58"/>
      <c r="J268" s="58"/>
      <c r="K268" s="58"/>
      <c r="L268" s="58"/>
      <c r="M268" s="262" t="str">
        <f>$L$65</f>
        <v>B</v>
      </c>
      <c r="N268" s="28" t="str">
        <f>$M$65</f>
        <v>System Design, Framework and Test Cases</v>
      </c>
      <c r="O268" s="100">
        <f>O267+((P267-O267)*W267)+1</f>
        <v>42644.243749999994</v>
      </c>
      <c r="P268" s="99">
        <f>O268+(((P258*DESIGN_TA_PERCENT)/DESIGN_TA_COUNT)*7)</f>
        <v>42645.877083333326</v>
      </c>
      <c r="Q268" s="92">
        <v>1</v>
      </c>
      <c r="R268" s="204">
        <v>3</v>
      </c>
      <c r="S268" s="92">
        <v>1</v>
      </c>
      <c r="T268" s="92"/>
      <c r="U268" s="92">
        <v>1</v>
      </c>
      <c r="V268" s="51"/>
      <c r="W268" s="237">
        <v>0.75</v>
      </c>
      <c r="X268" s="58"/>
      <c r="Y268" s="300"/>
      <c r="Z268" s="300"/>
      <c r="AA268" s="300"/>
      <c r="AB268" s="59"/>
      <c r="AC268" s="28"/>
    </row>
    <row r="269" spans="2:29" ht="16" hidden="1" outlineLevel="1" x14ac:dyDescent="0.2">
      <c r="F269" s="72"/>
      <c r="G269" s="58"/>
      <c r="H269" s="58"/>
      <c r="I269" s="58"/>
      <c r="J269" s="58"/>
      <c r="K269" s="58"/>
      <c r="L269" s="58"/>
      <c r="M269" s="262" t="str">
        <f>$L$101</f>
        <v>C</v>
      </c>
      <c r="N269" s="28" t="str">
        <f>$M$101</f>
        <v>Development and Unit Testing</v>
      </c>
      <c r="O269" s="100">
        <f>O268+((P268-O268)*W268)+1</f>
        <v>42646.468749999993</v>
      </c>
      <c r="P269" s="99">
        <f>O269+(((P259*DEV_DEV_PERCENT)/DEV_DEV_COUNT)*7)</f>
        <v>42668.518749999996</v>
      </c>
      <c r="Q269" s="92"/>
      <c r="R269" s="203"/>
      <c r="S269" s="92">
        <v>1</v>
      </c>
      <c r="T269" s="96">
        <v>2</v>
      </c>
      <c r="U269" s="92"/>
      <c r="V269" s="51"/>
      <c r="W269" s="236">
        <v>0.75</v>
      </c>
      <c r="X269" s="58"/>
      <c r="Y269" s="300"/>
      <c r="Z269" s="300"/>
      <c r="AA269" s="300"/>
      <c r="AB269" s="59"/>
      <c r="AC269" s="28"/>
    </row>
    <row r="270" spans="2:29" ht="16" hidden="1" outlineLevel="1" x14ac:dyDescent="0.2">
      <c r="F270" s="72"/>
      <c r="G270" s="58"/>
      <c r="H270" s="58"/>
      <c r="I270" s="58"/>
      <c r="J270" s="58"/>
      <c r="K270" s="58"/>
      <c r="L270" s="58"/>
      <c r="M270" s="262" t="str">
        <f>$L$152</f>
        <v>D</v>
      </c>
      <c r="N270" s="28" t="str">
        <f>$M$152</f>
        <v>System Testing and Stabilization</v>
      </c>
      <c r="O270" s="100">
        <f>O269+((P269-O269)*W269)+1</f>
        <v>42664.006249999991</v>
      </c>
      <c r="P270" s="99">
        <f>O270+(((P260*TESTING_QA_PERCENT)/TESTING_QA_COUNT)*7)</f>
        <v>42675.206249999988</v>
      </c>
      <c r="Q270" s="92"/>
      <c r="R270" s="203"/>
      <c r="S270" s="92">
        <v>1</v>
      </c>
      <c r="T270" s="92">
        <v>2</v>
      </c>
      <c r="U270" s="96">
        <v>1</v>
      </c>
      <c r="V270" s="233"/>
      <c r="W270" s="236">
        <v>1</v>
      </c>
      <c r="X270" s="58"/>
      <c r="Y270" s="300"/>
      <c r="Z270" s="300"/>
      <c r="AA270" s="300"/>
      <c r="AB270" s="59"/>
      <c r="AC270" s="28"/>
    </row>
    <row r="271" spans="2:29" ht="16" hidden="1" outlineLevel="1" x14ac:dyDescent="0.2">
      <c r="F271" s="72"/>
      <c r="G271" s="58"/>
      <c r="H271" s="58"/>
      <c r="I271" s="58"/>
      <c r="J271" s="58"/>
      <c r="K271" s="58"/>
      <c r="L271" s="58"/>
      <c r="M271" s="262" t="str">
        <f>$L$195</f>
        <v>E</v>
      </c>
      <c r="N271" s="28" t="str">
        <f>$M$195</f>
        <v>Deployment, UAT and Documentation</v>
      </c>
      <c r="O271" s="100">
        <f>O270+((P270-O270)*W270)+1</f>
        <v>42676.206249999988</v>
      </c>
      <c r="P271" s="99">
        <f>O271+(((P261*UAT_DEV_PERCENT)/UAT_DEV_COUNT)*7)</f>
        <v>42693.006249999991</v>
      </c>
      <c r="Q271" s="92"/>
      <c r="R271" s="203"/>
      <c r="S271" s="92">
        <v>1</v>
      </c>
      <c r="T271" s="96">
        <v>2</v>
      </c>
      <c r="U271" s="92">
        <v>1</v>
      </c>
      <c r="V271" s="51"/>
      <c r="W271" s="236">
        <v>1</v>
      </c>
      <c r="X271" s="58"/>
      <c r="Y271" s="300"/>
      <c r="Z271" s="300"/>
      <c r="AA271" s="300"/>
      <c r="AB271" s="59"/>
      <c r="AC271" s="28"/>
    </row>
    <row r="272" spans="2:29" ht="16" hidden="1" outlineLevel="1" x14ac:dyDescent="0.2">
      <c r="F272" s="72"/>
      <c r="G272" s="58"/>
      <c r="H272" s="58"/>
      <c r="I272" s="58"/>
      <c r="J272" s="58"/>
      <c r="K272" s="58"/>
      <c r="L272" s="58"/>
      <c r="M272" s="262" t="str">
        <f>$L$226</f>
        <v>F</v>
      </c>
      <c r="N272" s="28" t="str">
        <f>$M$226</f>
        <v>Others</v>
      </c>
      <c r="O272" s="101">
        <f>O271+((P271-O271)*W271)+1</f>
        <v>42694.006249999991</v>
      </c>
      <c r="P272" s="108">
        <f>O272+(((P262*OTHER_TL_PERCENT)/OTHER_TL_COUNT)*7)</f>
        <v>42722.006249999991</v>
      </c>
      <c r="Q272" s="109"/>
      <c r="R272" s="205">
        <v>0.5</v>
      </c>
      <c r="S272" s="110">
        <v>1</v>
      </c>
      <c r="T272" s="109"/>
      <c r="U272" s="109"/>
      <c r="V272" s="111"/>
      <c r="W272" s="234"/>
      <c r="X272" s="58"/>
      <c r="Y272" s="58"/>
      <c r="Z272" s="58"/>
      <c r="AA272" s="58"/>
      <c r="AB272" s="59"/>
      <c r="AC272" s="28"/>
    </row>
    <row r="273" spans="1:30" ht="16" hidden="1" outlineLevel="1" x14ac:dyDescent="0.2">
      <c r="F273" s="72"/>
      <c r="G273" s="58">
        <v>1</v>
      </c>
      <c r="H273" s="58"/>
      <c r="I273" s="58"/>
      <c r="J273" s="58"/>
      <c r="K273" s="58"/>
      <c r="L273" s="25"/>
      <c r="M273" s="262"/>
      <c r="N273" s="25"/>
      <c r="O273" s="105" t="s">
        <v>118</v>
      </c>
      <c r="P273" s="114">
        <f>NETWORKDAYS(START_DATE,AUTOMATED_END_DATE)/5</f>
        <v>20</v>
      </c>
      <c r="Q273" s="113" t="s">
        <v>94</v>
      </c>
      <c r="R273" s="112"/>
      <c r="S273" s="107" t="s">
        <v>117</v>
      </c>
      <c r="T273" s="279">
        <f>AUTOMATED_END_DATE</f>
        <v>42722.006249999991</v>
      </c>
      <c r="U273" s="279"/>
      <c r="V273" s="235"/>
      <c r="W273" s="235"/>
      <c r="X273" s="235"/>
      <c r="Y273" s="25"/>
      <c r="Z273" s="25"/>
      <c r="AA273" s="25"/>
      <c r="AB273" s="28"/>
      <c r="AC273" s="28"/>
    </row>
    <row r="274" spans="1:30" ht="16" hidden="1" outlineLevel="1" x14ac:dyDescent="0.2">
      <c r="F274" s="72"/>
      <c r="G274" s="58">
        <v>2</v>
      </c>
      <c r="H274" s="58"/>
      <c r="I274" s="58"/>
      <c r="J274" s="58"/>
      <c r="K274" s="58"/>
      <c r="L274" s="25"/>
      <c r="M274" s="262"/>
      <c r="N274" s="25"/>
      <c r="O274" s="105" t="s">
        <v>119</v>
      </c>
      <c r="P274" s="114">
        <f>NETWORKDAYS(START_DATE,MANUAL_END_DATE)/5</f>
        <v>-143</v>
      </c>
      <c r="Q274" s="113" t="s">
        <v>94</v>
      </c>
      <c r="R274" s="106"/>
      <c r="S274" s="107" t="s">
        <v>117</v>
      </c>
      <c r="T274" s="279">
        <f>MANUAL_END_DATE</f>
        <v>41583</v>
      </c>
      <c r="U274" s="279"/>
      <c r="V274" s="235"/>
      <c r="W274" s="235"/>
      <c r="X274" s="235"/>
      <c r="Y274" s="25"/>
      <c r="Z274" s="25"/>
      <c r="AA274" s="25"/>
      <c r="AB274" s="28"/>
      <c r="AC274" s="28"/>
    </row>
    <row r="275" spans="1:30" ht="15" hidden="1" customHeight="1" outlineLevel="1" x14ac:dyDescent="0.2">
      <c r="F275" s="72"/>
      <c r="G275" s="58"/>
      <c r="H275" s="58"/>
      <c r="I275" s="58"/>
      <c r="J275" s="58"/>
      <c r="K275" s="58"/>
      <c r="L275" s="25"/>
      <c r="M275" s="262"/>
      <c r="N275" s="25"/>
      <c r="O275" s="103"/>
      <c r="P275" s="61"/>
      <c r="Q275" s="104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8"/>
      <c r="AC275" s="28"/>
    </row>
    <row r="276" spans="1:30" ht="16" hidden="1" outlineLevel="1" x14ac:dyDescent="0.2">
      <c r="F276" s="72"/>
      <c r="G276" s="58">
        <v>3</v>
      </c>
      <c r="H276" s="58"/>
      <c r="I276" s="58"/>
      <c r="J276" s="58"/>
      <c r="K276" s="58"/>
      <c r="L276" s="25"/>
      <c r="M276" s="262"/>
      <c r="N276" s="28"/>
      <c r="O276" s="28"/>
      <c r="P276" s="25"/>
      <c r="Q276" s="25"/>
      <c r="R276" s="25"/>
      <c r="S276" s="69" t="s">
        <v>115</v>
      </c>
      <c r="T276" s="70" t="s">
        <v>92</v>
      </c>
      <c r="U276" s="25"/>
      <c r="V276" s="25"/>
      <c r="W276" s="25"/>
      <c r="X276" s="25"/>
      <c r="Y276" s="25"/>
      <c r="Z276" s="25"/>
      <c r="AA276" s="25"/>
      <c r="AB276" s="28"/>
      <c r="AC276" s="28"/>
    </row>
    <row r="277" spans="1:30" hidden="1" outlineLevel="1" x14ac:dyDescent="0.2">
      <c r="F277" s="72"/>
      <c r="G277" s="58"/>
      <c r="H277" s="58"/>
      <c r="I277" s="58"/>
      <c r="J277" s="58"/>
      <c r="K277" s="58"/>
      <c r="L277" s="25"/>
      <c r="M277" s="262"/>
      <c r="N277" s="28"/>
      <c r="O277" s="28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8"/>
      <c r="AC277" s="28"/>
    </row>
    <row r="278" spans="1:30" s="9" customFormat="1" ht="20.25" hidden="1" customHeight="1" outlineLevel="1" x14ac:dyDescent="0.2">
      <c r="A278" s="86"/>
      <c r="C278" s="72"/>
      <c r="D278" s="72"/>
      <c r="E278" s="72"/>
      <c r="F278" s="72"/>
      <c r="G278" s="40"/>
      <c r="H278" s="40"/>
      <c r="I278" s="40"/>
      <c r="J278" s="40"/>
      <c r="K278" s="40"/>
      <c r="L278" s="40"/>
      <c r="M278" s="258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10"/>
    </row>
    <row r="279" spans="1:30" s="9" customFormat="1" x14ac:dyDescent="0.2">
      <c r="A279" s="86"/>
      <c r="C279" s="74"/>
      <c r="D279" s="74"/>
      <c r="E279" s="74"/>
      <c r="F279" s="72"/>
      <c r="M279" s="252"/>
      <c r="N279" s="10"/>
      <c r="O279" s="10"/>
      <c r="AB279" s="10"/>
      <c r="AC279" s="10"/>
      <c r="AD279" s="10"/>
    </row>
    <row r="280" spans="1:30" s="9" customFormat="1" ht="20.25" customHeight="1" collapsed="1" x14ac:dyDescent="0.2">
      <c r="A280" s="86"/>
      <c r="C280" s="72"/>
      <c r="D280" s="72"/>
      <c r="E280" s="72"/>
      <c r="F280" s="72"/>
      <c r="G280" s="284" t="s">
        <v>48</v>
      </c>
      <c r="H280" s="284"/>
      <c r="I280" s="165"/>
      <c r="J280" s="40"/>
      <c r="K280" s="40"/>
      <c r="L280" s="36"/>
      <c r="M280" s="265" t="s">
        <v>185</v>
      </c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200" t="str">
        <f>TEMPLATE_NAME&amp;" "&amp;TEMPLATE_VER</f>
        <v>AG Estimation Template -  Version 2.0.4</v>
      </c>
      <c r="AC280" s="36"/>
      <c r="AD280" s="10"/>
    </row>
    <row r="281" spans="1:30" s="9" customFormat="1" hidden="1" outlineLevel="1" x14ac:dyDescent="0.2">
      <c r="A281" s="86"/>
      <c r="C281" s="74"/>
      <c r="D281" s="74"/>
      <c r="E281" s="74"/>
      <c r="F281" s="72"/>
      <c r="G281" s="25"/>
      <c r="H281" s="25"/>
      <c r="I281" s="25"/>
      <c r="J281" s="25"/>
      <c r="K281" s="25"/>
      <c r="L281" s="25"/>
      <c r="M281" s="262"/>
      <c r="N281" s="28"/>
      <c r="O281" s="28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8"/>
      <c r="AC281" s="28"/>
      <c r="AD281" s="10"/>
    </row>
    <row r="282" spans="1:30" s="9" customFormat="1" ht="15" hidden="1" customHeight="1" outlineLevel="1" x14ac:dyDescent="0.2">
      <c r="A282" s="86"/>
      <c r="C282" s="74"/>
      <c r="D282" s="74"/>
      <c r="E282" s="74"/>
      <c r="F282" s="72"/>
      <c r="G282" s="25"/>
      <c r="H282" s="25"/>
      <c r="I282" s="25"/>
      <c r="J282" s="25"/>
      <c r="K282" s="25"/>
      <c r="L282" s="25"/>
      <c r="M282" s="262"/>
      <c r="N282" s="132" t="s">
        <v>130</v>
      </c>
      <c r="O282" s="28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8"/>
      <c r="AC282" s="28"/>
      <c r="AD282" s="10"/>
    </row>
    <row r="283" spans="1:30" s="9" customFormat="1" ht="14.25" hidden="1" customHeight="1" outlineLevel="1" x14ac:dyDescent="0.2">
      <c r="A283" s="86"/>
      <c r="C283" s="72"/>
      <c r="D283" s="72"/>
      <c r="E283" s="72"/>
      <c r="F283" s="72"/>
      <c r="G283" s="25"/>
      <c r="H283" s="25"/>
      <c r="I283" s="25"/>
      <c r="J283" s="25"/>
      <c r="K283" s="25"/>
      <c r="L283" s="25"/>
      <c r="M283" s="262"/>
      <c r="N283" s="146" t="s">
        <v>5</v>
      </c>
      <c r="O283" s="145" t="s">
        <v>5</v>
      </c>
      <c r="P283" s="172"/>
      <c r="Q283" s="172"/>
      <c r="R283" s="145"/>
      <c r="S283" s="172"/>
      <c r="T283" s="172"/>
      <c r="U283" s="172"/>
      <c r="V283" s="172"/>
      <c r="W283" s="172"/>
      <c r="X283" s="25"/>
      <c r="Y283" s="25"/>
      <c r="Z283" s="25"/>
      <c r="AA283" s="25"/>
      <c r="AB283" s="25"/>
      <c r="AC283" s="28"/>
      <c r="AD283" s="10"/>
    </row>
    <row r="284" spans="1:30" s="9" customFormat="1" ht="14.25" hidden="1" customHeight="1" outlineLevel="1" x14ac:dyDescent="0.2">
      <c r="A284" s="86"/>
      <c r="C284" s="72"/>
      <c r="D284" s="72"/>
      <c r="E284" s="72"/>
      <c r="F284" s="72"/>
      <c r="G284" s="25"/>
      <c r="H284" s="25"/>
      <c r="I284" s="25"/>
      <c r="J284" s="25"/>
      <c r="K284" s="25"/>
      <c r="L284" s="25"/>
      <c r="M284" s="262"/>
      <c r="N284" s="146" t="s">
        <v>30</v>
      </c>
      <c r="O284" s="145" t="s">
        <v>30</v>
      </c>
      <c r="P284" s="172"/>
      <c r="Q284" s="172"/>
      <c r="R284" s="172"/>
      <c r="S284" s="172"/>
      <c r="T284" s="172"/>
      <c r="U284" s="172"/>
      <c r="V284" s="172"/>
      <c r="W284" s="172"/>
      <c r="X284" s="25"/>
      <c r="Y284" s="25"/>
      <c r="Z284" s="25"/>
      <c r="AA284" s="25"/>
      <c r="AB284" s="25"/>
      <c r="AC284" s="28"/>
      <c r="AD284" s="10"/>
    </row>
    <row r="285" spans="1:30" s="9" customFormat="1" ht="14.25" hidden="1" customHeight="1" outlineLevel="1" x14ac:dyDescent="0.2">
      <c r="A285" s="86"/>
      <c r="C285" s="72"/>
      <c r="D285" s="72"/>
      <c r="E285" s="72"/>
      <c r="F285" s="72"/>
      <c r="G285" s="25"/>
      <c r="H285" s="25"/>
      <c r="I285" s="25"/>
      <c r="J285" s="25"/>
      <c r="K285" s="25"/>
      <c r="L285" s="25"/>
      <c r="M285" s="262"/>
      <c r="N285" s="146" t="s">
        <v>36</v>
      </c>
      <c r="O285" s="145" t="s">
        <v>23</v>
      </c>
      <c r="P285" s="172"/>
      <c r="Q285" s="172"/>
      <c r="R285" s="172"/>
      <c r="S285" s="130"/>
      <c r="T285" s="130"/>
      <c r="U285" s="130"/>
      <c r="V285" s="172"/>
      <c r="W285" s="172"/>
      <c r="X285" s="25"/>
      <c r="Y285" s="25"/>
      <c r="Z285" s="25"/>
      <c r="AA285" s="25"/>
      <c r="AB285" s="25"/>
      <c r="AC285" s="28"/>
      <c r="AD285" s="10"/>
    </row>
    <row r="286" spans="1:30" s="9" customFormat="1" ht="14.25" hidden="1" customHeight="1" outlineLevel="1" x14ac:dyDescent="0.2">
      <c r="A286" s="86"/>
      <c r="C286" s="72"/>
      <c r="D286" s="72"/>
      <c r="E286" s="72"/>
      <c r="F286" s="72"/>
      <c r="G286" s="25"/>
      <c r="H286" s="25"/>
      <c r="I286" s="25"/>
      <c r="J286" s="25"/>
      <c r="K286" s="25"/>
      <c r="L286" s="25"/>
      <c r="M286" s="262"/>
      <c r="N286" s="146" t="s">
        <v>31</v>
      </c>
      <c r="O286" s="145" t="s">
        <v>23</v>
      </c>
      <c r="P286" s="172"/>
      <c r="Q286" s="172"/>
      <c r="R286" s="172"/>
      <c r="S286" s="130"/>
      <c r="T286" s="130"/>
      <c r="U286" s="130"/>
      <c r="V286" s="172"/>
      <c r="W286" s="172"/>
      <c r="X286" s="25"/>
      <c r="Y286" s="25"/>
      <c r="Z286" s="25"/>
      <c r="AA286" s="25"/>
      <c r="AB286" s="25"/>
      <c r="AC286" s="28"/>
      <c r="AD286" s="10"/>
    </row>
    <row r="287" spans="1:30" s="9" customFormat="1" ht="14.25" hidden="1" customHeight="1" outlineLevel="1" x14ac:dyDescent="0.2">
      <c r="A287" s="86"/>
      <c r="C287" s="72"/>
      <c r="D287" s="72"/>
      <c r="E287" s="72"/>
      <c r="F287" s="72"/>
      <c r="G287" s="25"/>
      <c r="H287" s="25"/>
      <c r="I287" s="25"/>
      <c r="J287" s="25"/>
      <c r="K287" s="25"/>
      <c r="L287" s="25"/>
      <c r="M287" s="262"/>
      <c r="N287" s="146" t="s">
        <v>56</v>
      </c>
      <c r="O287" s="145" t="s">
        <v>56</v>
      </c>
      <c r="P287" s="172"/>
      <c r="Q287" s="172"/>
      <c r="R287" s="172"/>
      <c r="S287" s="130"/>
      <c r="T287" s="130"/>
      <c r="U287" s="130"/>
      <c r="V287" s="172"/>
      <c r="W287" s="172"/>
      <c r="X287" s="25"/>
      <c r="Y287" s="25"/>
      <c r="Z287" s="25"/>
      <c r="AA287" s="25"/>
      <c r="AB287" s="25"/>
      <c r="AC287" s="28"/>
      <c r="AD287" s="10"/>
    </row>
    <row r="288" spans="1:30" s="9" customFormat="1" ht="14.25" hidden="1" customHeight="1" outlineLevel="1" x14ac:dyDescent="0.2">
      <c r="A288" s="86"/>
      <c r="C288" s="72"/>
      <c r="D288" s="72"/>
      <c r="E288" s="72"/>
      <c r="F288" s="72"/>
      <c r="G288" s="25"/>
      <c r="H288" s="25"/>
      <c r="I288" s="25"/>
      <c r="J288" s="25"/>
      <c r="K288" s="25"/>
      <c r="L288" s="25"/>
      <c r="M288" s="262"/>
      <c r="N288" s="146" t="s">
        <v>67</v>
      </c>
      <c r="O288" s="145" t="s">
        <v>23</v>
      </c>
      <c r="P288" s="172"/>
      <c r="Q288" s="172"/>
      <c r="R288" s="145"/>
      <c r="S288" s="130"/>
      <c r="T288" s="130"/>
      <c r="U288" s="130"/>
      <c r="V288" s="172"/>
      <c r="W288" s="172"/>
      <c r="X288" s="25"/>
      <c r="Y288" s="25"/>
      <c r="Z288" s="25"/>
      <c r="AA288" s="25"/>
      <c r="AB288" s="25"/>
      <c r="AC288" s="28"/>
      <c r="AD288" s="10"/>
    </row>
    <row r="289" spans="1:30" s="9" customFormat="1" ht="14.25" hidden="1" customHeight="1" outlineLevel="1" x14ac:dyDescent="0.2">
      <c r="A289" s="86"/>
      <c r="C289" s="72"/>
      <c r="D289" s="72"/>
      <c r="E289" s="72"/>
      <c r="F289" s="72"/>
      <c r="G289" s="25"/>
      <c r="H289" s="25"/>
      <c r="I289" s="25"/>
      <c r="J289" s="25"/>
      <c r="K289" s="25"/>
      <c r="L289" s="25"/>
      <c r="M289" s="262"/>
      <c r="N289" s="146" t="s">
        <v>4</v>
      </c>
      <c r="O289" s="145" t="s">
        <v>23</v>
      </c>
      <c r="P289" s="172"/>
      <c r="Q289" s="172"/>
      <c r="R289" s="172"/>
      <c r="S289" s="130"/>
      <c r="T289" s="130"/>
      <c r="U289" s="130"/>
      <c r="V289" s="172"/>
      <c r="W289" s="172"/>
      <c r="X289" s="25"/>
      <c r="Y289" s="25"/>
      <c r="Z289" s="25"/>
      <c r="AA289" s="25"/>
      <c r="AB289" s="25"/>
      <c r="AC289" s="28"/>
      <c r="AD289" s="10"/>
    </row>
    <row r="290" spans="1:30" s="9" customFormat="1" ht="14.25" hidden="1" customHeight="1" outlineLevel="1" x14ac:dyDescent="0.2">
      <c r="A290" s="86"/>
      <c r="C290" s="72"/>
      <c r="D290" s="72"/>
      <c r="E290" s="72"/>
      <c r="F290" s="72"/>
      <c r="G290" s="25"/>
      <c r="H290" s="25"/>
      <c r="I290" s="25"/>
      <c r="J290" s="25"/>
      <c r="K290" s="25"/>
      <c r="L290" s="25"/>
      <c r="M290" s="262"/>
      <c r="N290" s="146" t="s">
        <v>26</v>
      </c>
      <c r="O290" s="145" t="s">
        <v>23</v>
      </c>
      <c r="P290" s="172"/>
      <c r="Q290" s="172"/>
      <c r="R290" s="172"/>
      <c r="S290" s="130"/>
      <c r="T290" s="130"/>
      <c r="U290" s="130"/>
      <c r="V290" s="172"/>
      <c r="W290" s="172"/>
      <c r="X290" s="25"/>
      <c r="Y290" s="25"/>
      <c r="Z290" s="25"/>
      <c r="AA290" s="25"/>
      <c r="AB290" s="25"/>
      <c r="AC290" s="28"/>
      <c r="AD290" s="10"/>
    </row>
    <row r="291" spans="1:30" s="9" customFormat="1" ht="14.25" hidden="1" customHeight="1" outlineLevel="1" x14ac:dyDescent="0.2">
      <c r="A291" s="86"/>
      <c r="C291" s="72"/>
      <c r="D291" s="72"/>
      <c r="E291" s="72"/>
      <c r="F291" s="72"/>
      <c r="G291" s="25"/>
      <c r="H291" s="25"/>
      <c r="I291" s="25"/>
      <c r="J291" s="25"/>
      <c r="K291" s="25"/>
      <c r="L291" s="25"/>
      <c r="M291" s="262"/>
      <c r="N291" s="146"/>
      <c r="O291" s="25"/>
      <c r="P291" s="25"/>
      <c r="Q291" s="25"/>
      <c r="R291" s="25"/>
      <c r="S291" s="129"/>
      <c r="T291" s="129"/>
      <c r="U291" s="129"/>
      <c r="V291" s="129"/>
      <c r="W291" s="129"/>
      <c r="X291" s="25"/>
      <c r="Y291" s="25"/>
      <c r="Z291" s="25"/>
      <c r="AA291" s="25"/>
      <c r="AB291" s="129"/>
      <c r="AC291" s="28"/>
      <c r="AD291" s="10"/>
    </row>
    <row r="292" spans="1:30" s="9" customFormat="1" ht="15" hidden="1" customHeight="1" outlineLevel="1" x14ac:dyDescent="0.2">
      <c r="A292" s="86"/>
      <c r="C292" s="74"/>
      <c r="D292" s="74"/>
      <c r="E292" s="74"/>
      <c r="F292" s="72"/>
      <c r="G292" s="25"/>
      <c r="H292" s="25"/>
      <c r="I292" s="25"/>
      <c r="J292" s="25"/>
      <c r="K292" s="25"/>
      <c r="L292" s="25"/>
      <c r="M292" s="262"/>
      <c r="N292" s="290" t="str">
        <f>"Total effort is "&amp;TEXT(TOTAL_EFFORT,"##,##,###")&amp;" PDs. How much up or down it can safely be without being way off?"</f>
        <v>Total effort is 279 PDs. How much up or down it can safely be without being way off?</v>
      </c>
      <c r="O292" s="132" t="s">
        <v>128</v>
      </c>
      <c r="P292" s="132" t="s">
        <v>129</v>
      </c>
      <c r="Q292" s="25"/>
      <c r="R292" s="25"/>
      <c r="S292" s="129"/>
      <c r="T292" s="129"/>
      <c r="U292" s="129"/>
      <c r="V292" s="129"/>
      <c r="W292" s="129"/>
      <c r="X292" s="25"/>
      <c r="Y292" s="25"/>
      <c r="Z292" s="25"/>
      <c r="AA292" s="25"/>
      <c r="AB292" s="28"/>
      <c r="AC292" s="28"/>
      <c r="AD292" s="10"/>
    </row>
    <row r="293" spans="1:30" s="9" customFormat="1" ht="15" hidden="1" customHeight="1" outlineLevel="1" x14ac:dyDescent="0.2">
      <c r="A293" s="86"/>
      <c r="C293" s="74"/>
      <c r="D293" s="74"/>
      <c r="E293" s="74"/>
      <c r="F293" s="72"/>
      <c r="G293" s="25"/>
      <c r="H293" s="25"/>
      <c r="I293" s="25"/>
      <c r="J293" s="25"/>
      <c r="K293" s="25"/>
      <c r="L293" s="25"/>
      <c r="M293" s="262"/>
      <c r="N293" s="290"/>
      <c r="O293" s="141">
        <v>-0.2</v>
      </c>
      <c r="P293" s="142">
        <v>0.2</v>
      </c>
      <c r="Q293" s="25"/>
      <c r="R293" s="25"/>
      <c r="S293" s="129"/>
      <c r="T293" s="129"/>
      <c r="U293" s="129"/>
      <c r="V293" s="129"/>
      <c r="W293" s="129"/>
      <c r="X293" s="25"/>
      <c r="Y293" s="25"/>
      <c r="Z293" s="25"/>
      <c r="AA293" s="25"/>
      <c r="AB293" s="28"/>
      <c r="AC293" s="28"/>
      <c r="AD293" s="10"/>
    </row>
    <row r="294" spans="1:30" s="9" customFormat="1" hidden="1" outlineLevel="1" x14ac:dyDescent="0.2">
      <c r="A294" s="86"/>
      <c r="C294" s="74"/>
      <c r="D294" s="74"/>
      <c r="E294" s="74"/>
      <c r="F294" s="72"/>
      <c r="G294" s="25"/>
      <c r="H294" s="25"/>
      <c r="I294" s="25"/>
      <c r="J294" s="25"/>
      <c r="K294" s="25"/>
      <c r="L294" s="25"/>
      <c r="M294" s="262"/>
      <c r="N294" s="290"/>
      <c r="O294" s="28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8"/>
      <c r="AC294" s="28"/>
      <c r="AD294" s="10"/>
    </row>
    <row r="295" spans="1:30" s="9" customFormat="1" hidden="1" outlineLevel="1" x14ac:dyDescent="0.2">
      <c r="A295" s="86"/>
      <c r="C295" s="74"/>
      <c r="D295" s="74"/>
      <c r="E295" s="74"/>
      <c r="F295" s="72"/>
      <c r="G295" s="25"/>
      <c r="H295" s="25"/>
      <c r="I295" s="25"/>
      <c r="J295" s="25"/>
      <c r="K295" s="25"/>
      <c r="L295" s="25"/>
      <c r="M295" s="262"/>
      <c r="N295" s="149" t="s">
        <v>457</v>
      </c>
      <c r="O295" s="129"/>
      <c r="P295" s="150" t="s">
        <v>96</v>
      </c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8"/>
      <c r="AC295" s="28"/>
      <c r="AD295" s="10"/>
    </row>
    <row r="296" spans="1:30" s="9" customFormat="1" hidden="1" outlineLevel="1" x14ac:dyDescent="0.2">
      <c r="A296" s="86"/>
      <c r="C296" s="74"/>
      <c r="D296" s="74"/>
      <c r="E296" s="74"/>
      <c r="F296" s="72"/>
      <c r="G296" s="25"/>
      <c r="H296" s="25"/>
      <c r="I296" s="25"/>
      <c r="J296" s="25"/>
      <c r="K296" s="25"/>
      <c r="L296" s="25"/>
      <c r="M296" s="262"/>
      <c r="N296" s="240" t="s">
        <v>156</v>
      </c>
      <c r="O296" s="25"/>
      <c r="P296" s="148" t="s">
        <v>78</v>
      </c>
      <c r="Q296" s="131" t="s">
        <v>193</v>
      </c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8"/>
      <c r="AD296" s="10"/>
    </row>
    <row r="297" spans="1:30" s="9" customFormat="1" hidden="1" outlineLevel="1" x14ac:dyDescent="0.2">
      <c r="A297" s="86"/>
      <c r="C297" s="74"/>
      <c r="D297" s="74"/>
      <c r="E297" s="74"/>
      <c r="F297" s="72"/>
      <c r="G297" s="25"/>
      <c r="H297" s="25"/>
      <c r="I297" s="25"/>
      <c r="J297" s="25"/>
      <c r="K297" s="25"/>
      <c r="L297" s="25"/>
      <c r="M297" s="262"/>
      <c r="N297" s="240" t="s">
        <v>169</v>
      </c>
      <c r="O297" s="25"/>
      <c r="P297" s="148" t="s">
        <v>97</v>
      </c>
      <c r="Q297" s="131" t="s">
        <v>192</v>
      </c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8"/>
      <c r="AD297" s="10"/>
    </row>
    <row r="298" spans="1:30" s="9" customFormat="1" hidden="1" outlineLevel="1" x14ac:dyDescent="0.2">
      <c r="A298" s="86"/>
      <c r="C298" s="74"/>
      <c r="D298" s="74"/>
      <c r="E298" s="74"/>
      <c r="F298" s="72"/>
      <c r="G298" s="25"/>
      <c r="H298" s="25"/>
      <c r="I298" s="25"/>
      <c r="J298" s="25"/>
      <c r="K298" s="25"/>
      <c r="L298" s="25"/>
      <c r="M298" s="262"/>
      <c r="N298" s="240" t="s">
        <v>170</v>
      </c>
      <c r="O298" s="25"/>
      <c r="P298" s="25"/>
      <c r="Q298" s="25"/>
      <c r="R298" s="25"/>
      <c r="S298" s="25"/>
      <c r="T298" s="25"/>
      <c r="U298" s="148"/>
      <c r="V298" s="25"/>
      <c r="W298" s="25"/>
      <c r="X298" s="25"/>
      <c r="Y298" s="25"/>
      <c r="Z298" s="25"/>
      <c r="AA298" s="25"/>
      <c r="AB298" s="25"/>
      <c r="AC298" s="28"/>
      <c r="AD298" s="10"/>
    </row>
    <row r="299" spans="1:30" s="9" customFormat="1" ht="15" hidden="1" customHeight="1" outlineLevel="1" x14ac:dyDescent="0.2">
      <c r="A299" s="86"/>
      <c r="C299" s="74"/>
      <c r="D299" s="74"/>
      <c r="E299" s="74"/>
      <c r="F299" s="72"/>
      <c r="G299" s="25"/>
      <c r="H299" s="25"/>
      <c r="I299" s="25"/>
      <c r="J299" s="25"/>
      <c r="K299" s="25"/>
      <c r="L299" s="25"/>
      <c r="M299" s="262"/>
      <c r="N299" s="240" t="s">
        <v>171</v>
      </c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8"/>
      <c r="AD299" s="10"/>
    </row>
    <row r="300" spans="1:30" s="9" customFormat="1" hidden="1" outlineLevel="1" x14ac:dyDescent="0.2">
      <c r="A300" s="86"/>
      <c r="C300" s="74"/>
      <c r="D300" s="74"/>
      <c r="E300" s="74"/>
      <c r="F300" s="72"/>
      <c r="G300" s="25"/>
      <c r="H300" s="25"/>
      <c r="I300" s="25"/>
      <c r="J300" s="25"/>
      <c r="K300" s="25"/>
      <c r="L300" s="25"/>
      <c r="M300" s="262"/>
      <c r="N300" s="240" t="s">
        <v>172</v>
      </c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8"/>
      <c r="AD300" s="10"/>
    </row>
    <row r="301" spans="1:30" s="9" customFormat="1" hidden="1" outlineLevel="1" x14ac:dyDescent="0.2">
      <c r="A301" s="86"/>
      <c r="C301" s="74"/>
      <c r="D301" s="74"/>
      <c r="E301" s="74"/>
      <c r="F301" s="72"/>
      <c r="G301" s="25"/>
      <c r="H301" s="25"/>
      <c r="I301" s="25"/>
      <c r="J301" s="25"/>
      <c r="K301" s="25"/>
      <c r="L301" s="25"/>
      <c r="M301" s="262"/>
      <c r="N301" s="240" t="s">
        <v>173</v>
      </c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8"/>
      <c r="AD301" s="10"/>
    </row>
    <row r="302" spans="1:30" s="9" customFormat="1" hidden="1" outlineLevel="1" x14ac:dyDescent="0.2">
      <c r="A302" s="86"/>
      <c r="C302" s="74"/>
      <c r="D302" s="74"/>
      <c r="E302" s="74"/>
      <c r="F302" s="72"/>
      <c r="G302" s="25"/>
      <c r="H302" s="25"/>
      <c r="I302" s="25"/>
      <c r="J302" s="25"/>
      <c r="K302" s="25"/>
      <c r="L302" s="25"/>
      <c r="M302" s="262"/>
      <c r="N302" s="240" t="s">
        <v>174</v>
      </c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8"/>
      <c r="AD302" s="10"/>
    </row>
    <row r="303" spans="1:30" s="9" customFormat="1" hidden="1" outlineLevel="1" x14ac:dyDescent="0.2">
      <c r="A303" s="86"/>
      <c r="C303" s="74"/>
      <c r="D303" s="74"/>
      <c r="E303" s="74"/>
      <c r="F303" s="72"/>
      <c r="G303" s="25"/>
      <c r="H303" s="25"/>
      <c r="I303" s="25"/>
      <c r="J303" s="25"/>
      <c r="K303" s="25"/>
      <c r="L303" s="25"/>
      <c r="M303" s="262"/>
      <c r="N303" s="240" t="s">
        <v>155</v>
      </c>
      <c r="O303" s="28"/>
      <c r="P303" s="131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8"/>
      <c r="AD303" s="10"/>
    </row>
    <row r="304" spans="1:30" s="9" customFormat="1" hidden="1" outlineLevel="1" x14ac:dyDescent="0.2">
      <c r="A304" s="86"/>
      <c r="C304" s="74"/>
      <c r="D304" s="74"/>
      <c r="E304" s="74"/>
      <c r="F304" s="72"/>
      <c r="G304" s="25"/>
      <c r="H304" s="25"/>
      <c r="I304" s="25"/>
      <c r="J304" s="25"/>
      <c r="K304" s="25"/>
      <c r="L304" s="25"/>
      <c r="M304" s="262"/>
      <c r="N304" s="240" t="s">
        <v>158</v>
      </c>
      <c r="O304" s="28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8"/>
      <c r="AD304" s="10"/>
    </row>
    <row r="305" spans="1:30" s="9" customFormat="1" hidden="1" outlineLevel="1" x14ac:dyDescent="0.2">
      <c r="A305" s="86"/>
      <c r="C305" s="74"/>
      <c r="D305" s="74"/>
      <c r="E305" s="74"/>
      <c r="F305" s="72"/>
      <c r="G305" s="25"/>
      <c r="H305" s="25"/>
      <c r="I305" s="25"/>
      <c r="J305" s="25"/>
      <c r="K305" s="25"/>
      <c r="L305" s="25"/>
      <c r="M305" s="262"/>
      <c r="N305" s="240" t="s">
        <v>160</v>
      </c>
      <c r="O305" s="28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8"/>
      <c r="AD305" s="10"/>
    </row>
    <row r="306" spans="1:30" s="9" customFormat="1" hidden="1" outlineLevel="1" x14ac:dyDescent="0.2">
      <c r="A306" s="86"/>
      <c r="C306" s="74"/>
      <c r="D306" s="74"/>
      <c r="E306" s="74"/>
      <c r="F306" s="72"/>
      <c r="G306" s="25"/>
      <c r="H306" s="25"/>
      <c r="I306" s="25"/>
      <c r="J306" s="25"/>
      <c r="K306" s="25"/>
      <c r="L306" s="25"/>
      <c r="M306" s="262"/>
      <c r="N306" s="240" t="s">
        <v>159</v>
      </c>
      <c r="O306" s="28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8"/>
      <c r="AD306" s="10"/>
    </row>
    <row r="307" spans="1:30" s="9" customFormat="1" hidden="1" outlineLevel="1" x14ac:dyDescent="0.2">
      <c r="A307" s="86"/>
      <c r="C307" s="74"/>
      <c r="D307" s="74"/>
      <c r="E307" s="74"/>
      <c r="F307" s="72"/>
      <c r="G307" s="25"/>
      <c r="H307" s="25"/>
      <c r="I307" s="25"/>
      <c r="J307" s="25"/>
      <c r="K307" s="25"/>
      <c r="L307" s="25"/>
      <c r="M307" s="262"/>
      <c r="N307" s="240" t="s">
        <v>161</v>
      </c>
      <c r="O307" s="28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8"/>
      <c r="AD307" s="10"/>
    </row>
    <row r="308" spans="1:30" s="9" customFormat="1" hidden="1" outlineLevel="1" x14ac:dyDescent="0.2">
      <c r="A308" s="86"/>
      <c r="C308" s="74"/>
      <c r="D308" s="74"/>
      <c r="E308" s="74"/>
      <c r="F308" s="72"/>
      <c r="G308" s="25"/>
      <c r="H308" s="25"/>
      <c r="I308" s="25"/>
      <c r="J308" s="25"/>
      <c r="K308" s="25"/>
      <c r="L308" s="25"/>
      <c r="M308" s="262"/>
      <c r="N308" s="240" t="s">
        <v>162</v>
      </c>
      <c r="O308" s="28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8"/>
      <c r="AD308" s="10"/>
    </row>
    <row r="309" spans="1:30" s="9" customFormat="1" hidden="1" outlineLevel="1" x14ac:dyDescent="0.2">
      <c r="A309" s="86"/>
      <c r="C309" s="74"/>
      <c r="D309" s="74"/>
      <c r="E309" s="74"/>
      <c r="F309" s="72"/>
      <c r="G309" s="25"/>
      <c r="H309" s="25"/>
      <c r="I309" s="25"/>
      <c r="J309" s="25"/>
      <c r="K309" s="25"/>
      <c r="L309" s="25"/>
      <c r="M309" s="262"/>
      <c r="N309" s="240" t="s">
        <v>163</v>
      </c>
      <c r="O309" s="28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8"/>
      <c r="AD309" s="10"/>
    </row>
    <row r="310" spans="1:30" s="9" customFormat="1" hidden="1" outlineLevel="1" x14ac:dyDescent="0.2">
      <c r="A310" s="86"/>
      <c r="C310" s="74"/>
      <c r="D310" s="74"/>
      <c r="E310" s="74"/>
      <c r="F310" s="72"/>
      <c r="G310" s="25"/>
      <c r="H310" s="25"/>
      <c r="I310" s="25"/>
      <c r="J310" s="25"/>
      <c r="K310" s="25"/>
      <c r="L310" s="25"/>
      <c r="M310" s="262"/>
      <c r="N310" s="240" t="s">
        <v>157</v>
      </c>
      <c r="O310" s="28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8"/>
      <c r="AD310" s="10"/>
    </row>
    <row r="311" spans="1:30" s="9" customFormat="1" hidden="1" outlineLevel="1" x14ac:dyDescent="0.2">
      <c r="A311" s="86"/>
      <c r="C311" s="74"/>
      <c r="D311" s="74"/>
      <c r="E311" s="74"/>
      <c r="F311" s="72"/>
      <c r="G311" s="25"/>
      <c r="H311" s="25"/>
      <c r="I311" s="25"/>
      <c r="J311" s="25"/>
      <c r="K311" s="25"/>
      <c r="L311" s="25"/>
      <c r="M311" s="262"/>
      <c r="N311" s="240" t="s">
        <v>164</v>
      </c>
      <c r="O311" s="28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8"/>
      <c r="AD311" s="10"/>
    </row>
    <row r="312" spans="1:30" s="9" customFormat="1" hidden="1" outlineLevel="1" x14ac:dyDescent="0.2">
      <c r="A312" s="86"/>
      <c r="C312" s="74"/>
      <c r="D312" s="74"/>
      <c r="E312" s="74"/>
      <c r="F312" s="72"/>
      <c r="G312" s="25"/>
      <c r="H312" s="25"/>
      <c r="I312" s="25"/>
      <c r="J312" s="25"/>
      <c r="K312" s="25"/>
      <c r="L312" s="25"/>
      <c r="M312" s="262"/>
      <c r="N312" s="240" t="s">
        <v>165</v>
      </c>
      <c r="O312" s="28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8"/>
      <c r="AD312" s="10"/>
    </row>
    <row r="313" spans="1:30" s="9" customFormat="1" hidden="1" outlineLevel="1" x14ac:dyDescent="0.2">
      <c r="A313" s="86"/>
      <c r="C313" s="74"/>
      <c r="D313" s="74"/>
      <c r="E313" s="74"/>
      <c r="F313" s="72"/>
      <c r="G313" s="25"/>
      <c r="H313" s="25"/>
      <c r="I313" s="25"/>
      <c r="J313" s="25"/>
      <c r="K313" s="25"/>
      <c r="L313" s="25"/>
      <c r="M313" s="262"/>
      <c r="N313" s="240" t="s">
        <v>166</v>
      </c>
      <c r="O313" s="28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8"/>
      <c r="AD313" s="10"/>
    </row>
    <row r="314" spans="1:30" s="9" customFormat="1" hidden="1" outlineLevel="1" x14ac:dyDescent="0.2">
      <c r="A314" s="86"/>
      <c r="C314" s="74"/>
      <c r="D314" s="74"/>
      <c r="E314" s="74"/>
      <c r="F314" s="72"/>
      <c r="G314" s="25"/>
      <c r="H314" s="25"/>
      <c r="I314" s="25"/>
      <c r="J314" s="25"/>
      <c r="K314" s="25"/>
      <c r="L314" s="25"/>
      <c r="M314" s="262"/>
      <c r="N314" s="240" t="s">
        <v>167</v>
      </c>
      <c r="O314" s="28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8"/>
      <c r="AD314" s="10"/>
    </row>
    <row r="315" spans="1:30" s="9" customFormat="1" hidden="1" outlineLevel="1" x14ac:dyDescent="0.2">
      <c r="A315" s="86"/>
      <c r="C315" s="74"/>
      <c r="D315" s="74"/>
      <c r="E315" s="74"/>
      <c r="F315" s="72"/>
      <c r="G315" s="25"/>
      <c r="H315" s="25"/>
      <c r="I315" s="25"/>
      <c r="J315" s="25"/>
      <c r="K315" s="25"/>
      <c r="L315" s="25"/>
      <c r="M315" s="262"/>
      <c r="N315" s="240" t="s">
        <v>168</v>
      </c>
      <c r="O315" s="28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8"/>
      <c r="AD315" s="10"/>
    </row>
    <row r="316" spans="1:30" s="9" customFormat="1" hidden="1" outlineLevel="1" x14ac:dyDescent="0.2">
      <c r="A316" s="86"/>
      <c r="C316" s="74"/>
      <c r="D316" s="74"/>
      <c r="E316" s="74"/>
      <c r="F316" s="72"/>
      <c r="G316" s="25"/>
      <c r="H316" s="25"/>
      <c r="I316" s="25"/>
      <c r="J316" s="25"/>
      <c r="K316" s="25"/>
      <c r="L316" s="25"/>
      <c r="M316" s="262"/>
      <c r="N316" s="129"/>
      <c r="O316" s="28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8"/>
      <c r="AD316" s="10"/>
    </row>
    <row r="317" spans="1:30" s="9" customFormat="1" ht="15" hidden="1" customHeight="1" outlineLevel="1" x14ac:dyDescent="0.2">
      <c r="A317" s="86"/>
      <c r="C317" s="74"/>
      <c r="D317" s="74"/>
      <c r="E317" s="74"/>
      <c r="F317" s="72"/>
      <c r="G317" s="25"/>
      <c r="H317" s="25"/>
      <c r="I317" s="25"/>
      <c r="J317" s="25"/>
      <c r="K317" s="25"/>
      <c r="L317" s="25"/>
      <c r="M317" s="262"/>
      <c r="N317" s="153" t="s">
        <v>77</v>
      </c>
      <c r="O317" s="153" t="s">
        <v>144</v>
      </c>
      <c r="P317" s="25"/>
      <c r="Q317" s="171"/>
      <c r="R317" s="171"/>
      <c r="S317" s="25"/>
      <c r="T317" s="25"/>
      <c r="U317" s="25"/>
      <c r="V317" s="25"/>
      <c r="W317" s="25"/>
      <c r="X317" s="25"/>
      <c r="Y317" s="25"/>
      <c r="Z317" s="25"/>
      <c r="AA317" s="25"/>
      <c r="AB317" s="28"/>
      <c r="AC317" s="28"/>
      <c r="AD317" s="10"/>
    </row>
    <row r="318" spans="1:30" s="9" customFormat="1" ht="15" hidden="1" customHeight="1" outlineLevel="1" x14ac:dyDescent="0.2">
      <c r="A318" s="86"/>
      <c r="C318" s="74"/>
      <c r="D318" s="74"/>
      <c r="E318" s="74"/>
      <c r="F318" s="72"/>
      <c r="G318" s="25"/>
      <c r="H318" s="25"/>
      <c r="I318" s="25"/>
      <c r="J318" s="25"/>
      <c r="K318" s="25"/>
      <c r="L318" s="25"/>
      <c r="M318" s="262"/>
      <c r="N318" s="147" t="s">
        <v>65</v>
      </c>
      <c r="O318" s="152">
        <v>0.5</v>
      </c>
      <c r="P318" s="291" t="s">
        <v>140</v>
      </c>
      <c r="Q318" s="291"/>
      <c r="R318" s="291"/>
      <c r="S318" s="25"/>
      <c r="T318" s="25"/>
      <c r="U318" s="25"/>
      <c r="V318" s="25"/>
      <c r="W318" s="25"/>
      <c r="X318" s="25"/>
      <c r="Y318" s="25"/>
      <c r="Z318" s="25"/>
      <c r="AA318" s="25"/>
      <c r="AB318" s="28"/>
      <c r="AC318" s="28"/>
      <c r="AD318" s="10"/>
    </row>
    <row r="319" spans="1:30" s="9" customFormat="1" hidden="1" outlineLevel="1" x14ac:dyDescent="0.2">
      <c r="A319" s="86"/>
      <c r="C319" s="74"/>
      <c r="D319" s="74"/>
      <c r="E319" s="74"/>
      <c r="F319" s="72"/>
      <c r="G319" s="25"/>
      <c r="H319" s="25"/>
      <c r="I319" s="25"/>
      <c r="J319" s="25"/>
      <c r="K319" s="25"/>
      <c r="L319" s="25"/>
      <c r="M319" s="262"/>
      <c r="N319" s="147" t="s">
        <v>66</v>
      </c>
      <c r="O319" s="152">
        <v>0.25</v>
      </c>
      <c r="P319" s="291"/>
      <c r="Q319" s="291"/>
      <c r="R319" s="291"/>
      <c r="S319" s="25"/>
      <c r="T319" s="25"/>
      <c r="U319" s="25"/>
      <c r="V319" s="25"/>
      <c r="W319" s="25"/>
      <c r="X319" s="25"/>
      <c r="Y319" s="25"/>
      <c r="Z319" s="25"/>
      <c r="AA319" s="25"/>
      <c r="AB319" s="28"/>
      <c r="AC319" s="28"/>
      <c r="AD319" s="10"/>
    </row>
    <row r="320" spans="1:30" s="9" customFormat="1" hidden="1" outlineLevel="1" x14ac:dyDescent="0.2">
      <c r="A320" s="86"/>
      <c r="C320" s="74"/>
      <c r="D320" s="74"/>
      <c r="E320" s="74"/>
      <c r="F320" s="72"/>
      <c r="G320" s="25"/>
      <c r="H320" s="25"/>
      <c r="I320" s="25"/>
      <c r="J320" s="25"/>
      <c r="K320" s="25"/>
      <c r="L320" s="25"/>
      <c r="M320" s="262"/>
      <c r="N320" s="28"/>
      <c r="O320" s="28"/>
      <c r="P320" s="291"/>
      <c r="Q320" s="291"/>
      <c r="R320" s="291"/>
      <c r="S320" s="25"/>
      <c r="T320" s="25"/>
      <c r="U320" s="25"/>
      <c r="V320" s="25"/>
      <c r="W320" s="25"/>
      <c r="X320" s="25"/>
      <c r="Y320" s="25"/>
      <c r="Z320" s="25"/>
      <c r="AA320" s="25"/>
      <c r="AB320" s="28"/>
      <c r="AC320" s="28"/>
      <c r="AD320" s="10"/>
    </row>
    <row r="321" spans="1:30" s="9" customFormat="1" hidden="1" outlineLevel="1" x14ac:dyDescent="0.2">
      <c r="A321" s="86"/>
      <c r="C321" s="74"/>
      <c r="D321" s="74"/>
      <c r="E321" s="74"/>
      <c r="F321" s="72"/>
      <c r="G321" s="25"/>
      <c r="H321" s="25"/>
      <c r="I321" s="25"/>
      <c r="J321" s="25"/>
      <c r="K321" s="25"/>
      <c r="L321" s="25"/>
      <c r="M321" s="262"/>
      <c r="N321" s="28"/>
      <c r="O321" s="28"/>
      <c r="P321" s="291"/>
      <c r="Q321" s="291"/>
      <c r="R321" s="291"/>
      <c r="S321" s="25"/>
      <c r="T321" s="25"/>
      <c r="U321" s="25"/>
      <c r="V321" s="25"/>
      <c r="W321" s="25"/>
      <c r="X321" s="25"/>
      <c r="Y321" s="25"/>
      <c r="Z321" s="25"/>
      <c r="AA321" s="25"/>
      <c r="AB321" s="28"/>
      <c r="AC321" s="28"/>
      <c r="AD321" s="10"/>
    </row>
    <row r="322" spans="1:30" s="9" customFormat="1" hidden="1" outlineLevel="1" x14ac:dyDescent="0.2">
      <c r="A322" s="86"/>
      <c r="C322" s="74"/>
      <c r="D322" s="74"/>
      <c r="E322" s="74"/>
      <c r="F322" s="72"/>
      <c r="G322" s="25"/>
      <c r="H322" s="25"/>
      <c r="I322" s="25"/>
      <c r="J322" s="25"/>
      <c r="K322" s="25"/>
      <c r="L322" s="25"/>
      <c r="M322" s="262"/>
      <c r="N322" s="149" t="s">
        <v>133</v>
      </c>
      <c r="O322" s="153" t="s">
        <v>144</v>
      </c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8"/>
      <c r="AC322" s="28"/>
      <c r="AD322" s="10"/>
    </row>
    <row r="323" spans="1:30" s="9" customFormat="1" hidden="1" outlineLevel="1" x14ac:dyDescent="0.2">
      <c r="A323" s="86"/>
      <c r="C323" s="74"/>
      <c r="D323" s="74"/>
      <c r="E323" s="74"/>
      <c r="F323" s="72"/>
      <c r="G323" s="25"/>
      <c r="H323" s="25"/>
      <c r="I323" s="25"/>
      <c r="J323" s="25"/>
      <c r="K323" s="25"/>
      <c r="L323" s="25"/>
      <c r="M323" s="262"/>
      <c r="N323" s="248" t="s">
        <v>23</v>
      </c>
      <c r="O323" s="249">
        <v>0</v>
      </c>
      <c r="P323" s="291" t="s">
        <v>141</v>
      </c>
      <c r="Q323" s="291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8"/>
      <c r="AC323" s="28"/>
      <c r="AD323" s="10"/>
    </row>
    <row r="324" spans="1:30" s="9" customFormat="1" ht="15" hidden="1" customHeight="1" outlineLevel="1" x14ac:dyDescent="0.2">
      <c r="A324" s="86"/>
      <c r="C324" s="74"/>
      <c r="D324" s="74"/>
      <c r="E324" s="74"/>
      <c r="F324" s="72"/>
      <c r="G324" s="25"/>
      <c r="H324" s="25"/>
      <c r="I324" s="25"/>
      <c r="J324" s="25"/>
      <c r="K324" s="25"/>
      <c r="L324" s="25"/>
      <c r="M324" s="262"/>
      <c r="N324" s="248" t="s">
        <v>134</v>
      </c>
      <c r="O324" s="249">
        <v>0.25</v>
      </c>
      <c r="P324" s="291"/>
      <c r="Q324" s="291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8"/>
      <c r="AC324" s="28"/>
      <c r="AD324" s="10"/>
    </row>
    <row r="325" spans="1:30" s="9" customFormat="1" hidden="1" outlineLevel="1" x14ac:dyDescent="0.2">
      <c r="A325" s="86"/>
      <c r="C325" s="74"/>
      <c r="D325" s="74"/>
      <c r="E325" s="74"/>
      <c r="F325" s="72"/>
      <c r="G325" s="25"/>
      <c r="H325" s="25"/>
      <c r="I325" s="25"/>
      <c r="J325" s="25"/>
      <c r="K325" s="25"/>
      <c r="L325" s="25"/>
      <c r="M325" s="262"/>
      <c r="N325" s="248" t="s">
        <v>135</v>
      </c>
      <c r="O325" s="250">
        <v>0.1</v>
      </c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8"/>
      <c r="AC325" s="28"/>
      <c r="AD325" s="10"/>
    </row>
    <row r="326" spans="1:30" s="9" customFormat="1" hidden="1" outlineLevel="1" x14ac:dyDescent="0.2">
      <c r="A326" s="86"/>
      <c r="C326" s="74"/>
      <c r="D326" s="74"/>
      <c r="E326" s="74"/>
      <c r="F326" s="72"/>
      <c r="G326" s="25"/>
      <c r="H326" s="25"/>
      <c r="I326" s="25"/>
      <c r="J326" s="25"/>
      <c r="K326" s="25"/>
      <c r="L326" s="25"/>
      <c r="M326" s="262"/>
      <c r="N326" s="248" t="s">
        <v>136</v>
      </c>
      <c r="O326" s="250">
        <v>0</v>
      </c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8"/>
      <c r="AC326" s="28"/>
      <c r="AD326" s="10"/>
    </row>
    <row r="327" spans="1:30" s="9" customFormat="1" hidden="1" outlineLevel="1" x14ac:dyDescent="0.2">
      <c r="A327" s="86"/>
      <c r="C327" s="74"/>
      <c r="D327" s="74"/>
      <c r="E327" s="74"/>
      <c r="F327" s="72"/>
      <c r="G327" s="25"/>
      <c r="H327" s="25"/>
      <c r="I327" s="25"/>
      <c r="J327" s="25"/>
      <c r="K327" s="25"/>
      <c r="L327" s="25"/>
      <c r="M327" s="262"/>
      <c r="N327" s="248" t="s">
        <v>137</v>
      </c>
      <c r="O327" s="250">
        <v>0</v>
      </c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8"/>
      <c r="AC327" s="28"/>
      <c r="AD327" s="10"/>
    </row>
    <row r="328" spans="1:30" s="9" customFormat="1" hidden="1" outlineLevel="1" x14ac:dyDescent="0.2">
      <c r="A328" s="86"/>
      <c r="C328" s="74"/>
      <c r="D328" s="74"/>
      <c r="E328" s="74"/>
      <c r="F328" s="72"/>
      <c r="G328" s="25"/>
      <c r="H328" s="25"/>
      <c r="I328" s="25"/>
      <c r="J328" s="25"/>
      <c r="K328" s="25"/>
      <c r="L328" s="25"/>
      <c r="M328" s="262"/>
      <c r="N328" s="248" t="s">
        <v>138</v>
      </c>
      <c r="O328" s="250">
        <v>0</v>
      </c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8"/>
      <c r="AC328" s="28"/>
      <c r="AD328" s="10"/>
    </row>
    <row r="329" spans="1:30" s="9" customFormat="1" hidden="1" outlineLevel="1" x14ac:dyDescent="0.2">
      <c r="A329" s="86"/>
      <c r="C329" s="74"/>
      <c r="D329" s="74"/>
      <c r="E329" s="74"/>
      <c r="F329" s="72"/>
      <c r="G329" s="25"/>
      <c r="H329" s="25"/>
      <c r="I329" s="25"/>
      <c r="J329" s="25"/>
      <c r="K329" s="25"/>
      <c r="L329" s="25"/>
      <c r="M329" s="262"/>
      <c r="N329" s="28"/>
      <c r="O329" s="28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8"/>
      <c r="AC329" s="28"/>
      <c r="AD329" s="10"/>
    </row>
    <row r="330" spans="1:30" s="9" customFormat="1" hidden="1" outlineLevel="1" x14ac:dyDescent="0.2">
      <c r="A330" s="86"/>
      <c r="C330" s="74"/>
      <c r="D330" s="74"/>
      <c r="E330" s="74"/>
      <c r="F330" s="72"/>
      <c r="G330" s="25"/>
      <c r="H330" s="25"/>
      <c r="I330" s="25"/>
      <c r="J330" s="25"/>
      <c r="K330" s="25"/>
      <c r="L330" s="25"/>
      <c r="M330" s="262"/>
      <c r="N330" s="149" t="s">
        <v>142</v>
      </c>
      <c r="O330" s="153" t="s">
        <v>144</v>
      </c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8"/>
      <c r="AC330" s="28"/>
      <c r="AD330" s="10"/>
    </row>
    <row r="331" spans="1:30" s="9" customFormat="1" ht="15" hidden="1" customHeight="1" outlineLevel="1" x14ac:dyDescent="0.2">
      <c r="A331" s="86"/>
      <c r="C331" s="74"/>
      <c r="D331" s="74"/>
      <c r="E331" s="74"/>
      <c r="F331" s="72"/>
      <c r="G331" s="25"/>
      <c r="H331" s="25"/>
      <c r="I331" s="25"/>
      <c r="J331" s="25"/>
      <c r="K331" s="25"/>
      <c r="L331" s="25"/>
      <c r="M331" s="262"/>
      <c r="N331" s="147" t="str">
        <f>Lists!B46</f>
        <v>Low</v>
      </c>
      <c r="O331" s="152">
        <v>0.1</v>
      </c>
      <c r="P331" s="291" t="s">
        <v>143</v>
      </c>
      <c r="Q331" s="291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8"/>
      <c r="AC331" s="28"/>
      <c r="AD331" s="10"/>
    </row>
    <row r="332" spans="1:30" s="9" customFormat="1" hidden="1" outlineLevel="1" x14ac:dyDescent="0.2">
      <c r="A332" s="86"/>
      <c r="C332" s="74"/>
      <c r="D332" s="74"/>
      <c r="E332" s="74"/>
      <c r="F332" s="72"/>
      <c r="G332" s="25"/>
      <c r="H332" s="25"/>
      <c r="I332" s="25"/>
      <c r="J332" s="25"/>
      <c r="K332" s="25"/>
      <c r="L332" s="25"/>
      <c r="M332" s="262"/>
      <c r="N332" s="147" t="str">
        <f>Lists!B47</f>
        <v>Medium</v>
      </c>
      <c r="O332" s="152">
        <v>0.15</v>
      </c>
      <c r="P332" s="291"/>
      <c r="Q332" s="291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8"/>
      <c r="AC332" s="28"/>
      <c r="AD332" s="10"/>
    </row>
    <row r="333" spans="1:30" s="9" customFormat="1" hidden="1" outlineLevel="1" x14ac:dyDescent="0.2">
      <c r="A333" s="86"/>
      <c r="C333" s="74"/>
      <c r="D333" s="74"/>
      <c r="E333" s="74"/>
      <c r="F333" s="72"/>
      <c r="G333" s="25"/>
      <c r="H333" s="25"/>
      <c r="I333" s="25"/>
      <c r="J333" s="25"/>
      <c r="K333" s="25"/>
      <c r="L333" s="25"/>
      <c r="M333" s="262"/>
      <c r="N333" s="147" t="str">
        <f>Lists!B48</f>
        <v>High</v>
      </c>
      <c r="O333" s="152">
        <v>0.2</v>
      </c>
      <c r="P333" s="291"/>
      <c r="Q333" s="291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8"/>
      <c r="AC333" s="28"/>
      <c r="AD333" s="10"/>
    </row>
    <row r="334" spans="1:30" s="9" customFormat="1" hidden="1" outlineLevel="1" x14ac:dyDescent="0.2">
      <c r="A334" s="86"/>
      <c r="C334" s="74"/>
      <c r="D334" s="74"/>
      <c r="E334" s="74"/>
      <c r="F334" s="72"/>
      <c r="G334" s="25"/>
      <c r="H334" s="25"/>
      <c r="I334" s="25"/>
      <c r="J334" s="25"/>
      <c r="K334" s="25"/>
      <c r="L334" s="25"/>
      <c r="M334" s="262"/>
      <c r="N334" s="28"/>
      <c r="O334" s="28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8"/>
      <c r="AC334" s="28"/>
      <c r="AD334" s="10"/>
    </row>
    <row r="335" spans="1:30" s="9" customFormat="1" ht="20.25" hidden="1" customHeight="1" outlineLevel="1" x14ac:dyDescent="0.2">
      <c r="A335" s="86"/>
      <c r="C335" s="72"/>
      <c r="D335" s="72"/>
      <c r="E335" s="72"/>
      <c r="F335" s="72"/>
      <c r="G335" s="40"/>
      <c r="H335" s="40"/>
      <c r="I335" s="40"/>
      <c r="J335" s="40"/>
      <c r="K335" s="40"/>
      <c r="L335" s="40"/>
      <c r="M335" s="258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10"/>
    </row>
    <row r="336" spans="1:30" x14ac:dyDescent="0.2">
      <c r="F336" s="72"/>
    </row>
    <row r="400" spans="1:30" s="9" customFormat="1" ht="20.25" customHeight="1" x14ac:dyDescent="0.2">
      <c r="A400" s="86"/>
      <c r="C400" s="72"/>
      <c r="D400" s="72"/>
      <c r="E400" s="72"/>
      <c r="F400" s="72"/>
      <c r="G400" s="284" t="s">
        <v>48</v>
      </c>
      <c r="H400" s="284"/>
      <c r="I400" s="165"/>
      <c r="J400" s="40"/>
      <c r="K400" s="40"/>
      <c r="L400" s="36"/>
      <c r="M400" s="265" t="s">
        <v>125</v>
      </c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10"/>
    </row>
    <row r="401" spans="1:30" hidden="1" x14ac:dyDescent="0.2"/>
    <row r="402" spans="1:30" s="14" customFormat="1" ht="19" hidden="1" collapsed="1" x14ac:dyDescent="0.2">
      <c r="A402" s="86" t="s">
        <v>98</v>
      </c>
      <c r="B402" s="18"/>
      <c r="C402" s="75"/>
      <c r="D402" s="75"/>
      <c r="E402" s="75"/>
      <c r="F402" s="75"/>
      <c r="G402" s="52"/>
      <c r="H402" s="52"/>
      <c r="I402" s="52"/>
      <c r="J402" s="52"/>
      <c r="K402" s="52"/>
      <c r="L402" s="52" t="s">
        <v>105</v>
      </c>
      <c r="M402" s="261" t="s">
        <v>106</v>
      </c>
      <c r="N402" s="53"/>
      <c r="O402" s="54"/>
      <c r="P402" s="55"/>
      <c r="Q402" s="55"/>
      <c r="R402" s="55"/>
      <c r="S402" s="275">
        <f>CEILING(SUMIFS(T403:T408, J403:J408, "&lt;&gt;Yes", A403:A408,"T1"),1)</f>
        <v>0</v>
      </c>
      <c r="T402" s="275"/>
      <c r="U402" s="55"/>
      <c r="V402" s="55"/>
      <c r="W402" s="55"/>
      <c r="X402" s="55"/>
      <c r="Y402" s="55"/>
      <c r="Z402" s="55"/>
      <c r="AA402" s="55"/>
      <c r="AB402" s="55"/>
      <c r="AC402" s="55"/>
      <c r="AD402" s="23" t="str">
        <f>IF(M402="", "Section name cannot be empty.", "")</f>
        <v/>
      </c>
    </row>
    <row r="403" spans="1:30" s="9" customFormat="1" ht="1.5" hidden="1" customHeight="1" outlineLevel="1" x14ac:dyDescent="0.2">
      <c r="A403" s="86" t="s">
        <v>99</v>
      </c>
      <c r="B403" s="15"/>
      <c r="C403" s="72"/>
      <c r="D403" s="72"/>
      <c r="E403" s="72"/>
      <c r="F403" s="72"/>
      <c r="G403" s="25"/>
      <c r="H403" s="25"/>
      <c r="I403" s="25"/>
      <c r="J403" s="25"/>
      <c r="K403" s="25"/>
      <c r="L403" s="26">
        <v>0</v>
      </c>
      <c r="M403" s="262"/>
      <c r="N403" s="25"/>
      <c r="O403" s="25"/>
      <c r="P403" s="25"/>
      <c r="Q403" s="25"/>
      <c r="R403" s="25"/>
      <c r="S403" s="25"/>
      <c r="T403" s="27"/>
      <c r="U403" s="25"/>
      <c r="V403" s="25"/>
      <c r="W403" s="25"/>
      <c r="X403" s="27"/>
      <c r="Y403" s="25"/>
      <c r="Z403" s="25"/>
      <c r="AA403" s="25"/>
      <c r="AB403" s="28"/>
      <c r="AC403" s="28"/>
      <c r="AD403" s="10"/>
    </row>
    <row r="404" spans="1:30" s="14" customFormat="1" ht="16" hidden="1" outlineLevel="1" x14ac:dyDescent="0.2">
      <c r="A404" s="86" t="s">
        <v>100</v>
      </c>
      <c r="B404" s="18"/>
      <c r="C404" s="77"/>
      <c r="D404" s="77"/>
      <c r="E404" s="77"/>
      <c r="F404" s="76"/>
      <c r="G404" s="29"/>
      <c r="H404" s="29"/>
      <c r="I404" s="29"/>
      <c r="J404" s="29"/>
      <c r="K404" s="29"/>
      <c r="L404" s="17">
        <f ca="1">LOOKUP(1000,INDIRECT("L1:"&amp;CELL("address",INDIRECT("R[-1]C",FALSE))))+1</f>
        <v>1</v>
      </c>
      <c r="M404" s="274" t="s">
        <v>108</v>
      </c>
      <c r="N404" s="274"/>
      <c r="O404" s="5"/>
      <c r="P404" s="30"/>
      <c r="Q404" s="30"/>
      <c r="R404" s="30"/>
      <c r="S404" s="30"/>
      <c r="T404" s="155">
        <f>IF($S$6="Exclude", SUMIFS(S405:S407, J405:J407, "&lt;&gt;Yes", G405:G407, "&lt;&gt;Yes"), SUMIFS(S405:S407, J405:J407, "&lt;&gt;Yes"))</f>
        <v>0</v>
      </c>
      <c r="U404" s="30"/>
      <c r="V404" s="30"/>
      <c r="W404" s="30"/>
      <c r="X404" s="31"/>
      <c r="Y404" s="32"/>
      <c r="Z404" s="32"/>
      <c r="AA404" s="32"/>
      <c r="AB404" s="219" t="s">
        <v>443</v>
      </c>
      <c r="AC404" s="33"/>
      <c r="AD404" s="23" t="str">
        <f>IF(M404="", "Error: Task name cannot be empty.", "")</f>
        <v/>
      </c>
    </row>
    <row r="405" spans="1:30" s="12" customFormat="1" ht="1.5" hidden="1" customHeight="1" outlineLevel="2" x14ac:dyDescent="0.2">
      <c r="A405" s="86" t="s">
        <v>101</v>
      </c>
      <c r="B405" s="18"/>
      <c r="C405" s="77"/>
      <c r="D405" s="77"/>
      <c r="E405" s="77"/>
      <c r="F405" s="76"/>
      <c r="G405" s="29"/>
      <c r="H405" s="29"/>
      <c r="I405" s="29"/>
      <c r="J405" s="29"/>
      <c r="K405" s="29"/>
      <c r="L405" s="163">
        <f ca="1">L404</f>
        <v>1</v>
      </c>
      <c r="M405" s="164" t="s">
        <v>105</v>
      </c>
      <c r="N405" s="161"/>
      <c r="O405" s="162"/>
      <c r="P405" s="30"/>
      <c r="Q405" s="30"/>
      <c r="R405" s="30"/>
      <c r="S405" s="30"/>
      <c r="T405" s="155"/>
      <c r="U405" s="30"/>
      <c r="V405" s="30"/>
      <c r="W405" s="30"/>
      <c r="X405" s="31"/>
      <c r="Y405" s="32"/>
      <c r="Z405" s="32"/>
      <c r="AA405" s="32"/>
      <c r="AB405" s="33"/>
      <c r="AC405" s="33"/>
      <c r="AD405" s="23"/>
    </row>
    <row r="406" spans="1:30" ht="64" hidden="1" outlineLevel="2" x14ac:dyDescent="0.2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 t="str">
        <f ca="1">IFERROR(OFFSET(M406,-1,,1,1)+0.1,OFFSET(M406,-1,-1,1,1)&amp;".1")</f>
        <v>1.1</v>
      </c>
      <c r="N406" s="20" t="s">
        <v>442</v>
      </c>
      <c r="O406" s="20"/>
      <c r="P406" s="20"/>
      <c r="Q406" s="134"/>
      <c r="R406" s="127"/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0</v>
      </c>
      <c r="T406" s="158"/>
      <c r="U406" s="21">
        <v>0</v>
      </c>
      <c r="V406" s="21">
        <v>1</v>
      </c>
      <c r="W406" s="21">
        <v>0</v>
      </c>
      <c r="X406" s="156"/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0</v>
      </c>
      <c r="Z406" s="22"/>
      <c r="AA406" s="157">
        <f>Y406+Y406*VLOOKUP(I406,EXTRAS_ARRAY,2,FALSE)</f>
        <v>0</v>
      </c>
      <c r="AB406" s="20" t="s">
        <v>445</v>
      </c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>Error: Effort value is not defined or is invalid.</v>
      </c>
    </row>
    <row r="407" spans="1:30" s="9" customFormat="1" ht="7.5" hidden="1" customHeight="1" outlineLevel="2" x14ac:dyDescent="0.2">
      <c r="A407" s="86" t="s">
        <v>132</v>
      </c>
      <c r="B407" s="15"/>
      <c r="C407" s="72"/>
      <c r="D407" s="72"/>
      <c r="E407" s="72"/>
      <c r="F407" s="72"/>
      <c r="M407" s="252"/>
      <c r="T407" s="15"/>
      <c r="X407" s="15"/>
      <c r="AB407" s="10"/>
      <c r="AC407" s="10"/>
      <c r="AD407" s="10"/>
    </row>
    <row r="408" spans="1:30" s="9" customFormat="1" ht="1.5" hidden="1" customHeight="1" outlineLevel="1" x14ac:dyDescent="0.2">
      <c r="A408" s="86" t="s">
        <v>102</v>
      </c>
      <c r="C408" s="72"/>
      <c r="D408" s="72"/>
      <c r="E408" s="72"/>
      <c r="F408" s="72"/>
      <c r="G408" s="25"/>
      <c r="H408" s="25"/>
      <c r="I408" s="25"/>
      <c r="J408" s="25"/>
      <c r="K408" s="25"/>
      <c r="L408" s="56"/>
      <c r="M408" s="264"/>
      <c r="N408" s="57"/>
      <c r="O408" s="57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7"/>
      <c r="AC408" s="57"/>
      <c r="AD408" s="10"/>
    </row>
    <row r="409" spans="1:30" hidden="1" collapsed="1" x14ac:dyDescent="0.2"/>
    <row r="410" spans="1:30" s="14" customFormat="1" ht="16" hidden="1" outlineLevel="1" x14ac:dyDescent="0.2">
      <c r="A410" s="86" t="s">
        <v>107</v>
      </c>
      <c r="B410" s="18"/>
      <c r="C410" s="77"/>
      <c r="D410" s="77"/>
      <c r="E410" s="77"/>
      <c r="F410" s="76"/>
      <c r="G410" s="170"/>
      <c r="H410" s="170"/>
      <c r="I410" s="170"/>
      <c r="J410" s="170"/>
      <c r="K410" s="170"/>
      <c r="L410" s="85" t="s">
        <v>109</v>
      </c>
      <c r="M410" s="292" t="s">
        <v>124</v>
      </c>
      <c r="N410" s="292"/>
      <c r="O410" s="80"/>
      <c r="P410" s="81"/>
      <c r="Q410" s="81"/>
      <c r="R410" s="81"/>
      <c r="S410" s="276">
        <f>SUMGROUP(ROW(), "T")</f>
        <v>0</v>
      </c>
      <c r="T410" s="276"/>
      <c r="U410" s="285"/>
      <c r="V410" s="285"/>
      <c r="W410" s="285"/>
      <c r="X410" s="82"/>
      <c r="Y410" s="83"/>
      <c r="Z410" s="83"/>
      <c r="AA410" s="83"/>
      <c r="AB410" s="221"/>
      <c r="AC410" s="84"/>
      <c r="AD410" s="23" t="str">
        <f>IF(M410="", "Error: Module name cannot be empty.", "")</f>
        <v/>
      </c>
    </row>
    <row r="411" spans="1:30" hidden="1" x14ac:dyDescent="0.2"/>
    <row r="412" spans="1:30" s="9" customFormat="1" ht="20.25" customHeight="1" x14ac:dyDescent="0.2">
      <c r="A412" s="86"/>
      <c r="C412" s="72"/>
      <c r="D412" s="72"/>
      <c r="E412" s="72"/>
      <c r="F412" s="72"/>
      <c r="G412" s="40"/>
      <c r="H412" s="40"/>
      <c r="I412" s="40"/>
      <c r="J412" s="40"/>
      <c r="K412" s="40"/>
      <c r="L412" s="40"/>
      <c r="M412" s="258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10"/>
    </row>
  </sheetData>
  <sheetProtection algorithmName="SHA-512" hashValue="CqVBt66zot7xfcoYRRGoFcf/yQiEi9xJlhyzmPG/i6s4J4DWBJHrpO8ENzi6IB1A9UbgzPlejG1uwPiafPgeMw==" saltValue="WvxAOzebuC1FJxGikvKWDQ==" spinCount="100000" sheet="1" objects="1" scenarios="1"/>
  <dataConsolidate/>
  <mergeCells count="95">
    <mergeCell ref="M103:N103"/>
    <mergeCell ref="M155:N155"/>
    <mergeCell ref="M197:N197"/>
    <mergeCell ref="U154:W154"/>
    <mergeCell ref="M165:N165"/>
    <mergeCell ref="S165:T165"/>
    <mergeCell ref="U165:W165"/>
    <mergeCell ref="U145:W145"/>
    <mergeCell ref="U135:W135"/>
    <mergeCell ref="U129:W129"/>
    <mergeCell ref="M114:N114"/>
    <mergeCell ref="M130:N130"/>
    <mergeCell ref="M121:N121"/>
    <mergeCell ref="M129:N129"/>
    <mergeCell ref="M210:N210"/>
    <mergeCell ref="M214:N214"/>
    <mergeCell ref="M218:N218"/>
    <mergeCell ref="M178:N178"/>
    <mergeCell ref="M185:N185"/>
    <mergeCell ref="M205:N205"/>
    <mergeCell ref="M173:N173"/>
    <mergeCell ref="M135:N135"/>
    <mergeCell ref="S135:T135"/>
    <mergeCell ref="M136:N136"/>
    <mergeCell ref="M166:N166"/>
    <mergeCell ref="M146:N146"/>
    <mergeCell ref="M145:N145"/>
    <mergeCell ref="S145:T145"/>
    <mergeCell ref="M160:N160"/>
    <mergeCell ref="M154:N154"/>
    <mergeCell ref="S154:T154"/>
    <mergeCell ref="M141:N141"/>
    <mergeCell ref="M20:N20"/>
    <mergeCell ref="M78:N78"/>
    <mergeCell ref="M82:N82"/>
    <mergeCell ref="M89:N89"/>
    <mergeCell ref="S65:T65"/>
    <mergeCell ref="M26:N26"/>
    <mergeCell ref="M33:N33"/>
    <mergeCell ref="M41:N41"/>
    <mergeCell ref="M47:N47"/>
    <mergeCell ref="M56:N56"/>
    <mergeCell ref="M67:N67"/>
    <mergeCell ref="Y267:AA271"/>
    <mergeCell ref="U10:W10"/>
    <mergeCell ref="M237:T238"/>
    <mergeCell ref="W255:X256"/>
    <mergeCell ref="W257:X257"/>
    <mergeCell ref="W258:X258"/>
    <mergeCell ref="W259:X259"/>
    <mergeCell ref="W260:X260"/>
    <mergeCell ref="W261:X261"/>
    <mergeCell ref="W262:X262"/>
    <mergeCell ref="W263:X263"/>
    <mergeCell ref="Q263:V263"/>
    <mergeCell ref="M14:N14"/>
    <mergeCell ref="M73:N73"/>
    <mergeCell ref="W265:X266"/>
    <mergeCell ref="S11:T11"/>
    <mergeCell ref="C2:F9"/>
    <mergeCell ref="C10:F10"/>
    <mergeCell ref="G9:J9"/>
    <mergeCell ref="G235:H235"/>
    <mergeCell ref="C11:F11"/>
    <mergeCell ref="C12:E12"/>
    <mergeCell ref="G3:J3"/>
    <mergeCell ref="J5:K5"/>
    <mergeCell ref="AB5:AB6"/>
    <mergeCell ref="P10:R10"/>
    <mergeCell ref="G252:H252"/>
    <mergeCell ref="U410:W410"/>
    <mergeCell ref="Q265:V265"/>
    <mergeCell ref="P255:P256"/>
    <mergeCell ref="G280:H280"/>
    <mergeCell ref="G400:H400"/>
    <mergeCell ref="Q254:V254"/>
    <mergeCell ref="O255:O256"/>
    <mergeCell ref="N292:N294"/>
    <mergeCell ref="P318:R321"/>
    <mergeCell ref="P323:Q324"/>
    <mergeCell ref="P331:Q333"/>
    <mergeCell ref="M410:N410"/>
    <mergeCell ref="M404:N404"/>
    <mergeCell ref="S12:T12"/>
    <mergeCell ref="S101:T101"/>
    <mergeCell ref="S152:T152"/>
    <mergeCell ref="S195:T195"/>
    <mergeCell ref="S129:T129"/>
    <mergeCell ref="M228:N228"/>
    <mergeCell ref="S402:T402"/>
    <mergeCell ref="S410:T410"/>
    <mergeCell ref="S226:T226"/>
    <mergeCell ref="S233:T233"/>
    <mergeCell ref="T274:U274"/>
    <mergeCell ref="T273:U273"/>
  </mergeCells>
  <conditionalFormatting sqref="B257">
    <cfRule type="cellIs" dxfId="1284" priority="10218" operator="equal">
      <formula>"."</formula>
    </cfRule>
  </conditionalFormatting>
  <conditionalFormatting sqref="C254:E254 C273:E276">
    <cfRule type="expression" dxfId="1283" priority="10098">
      <formula>$H254&lt;&gt;""</formula>
    </cfRule>
  </conditionalFormatting>
  <conditionalFormatting sqref="C255:E263">
    <cfRule type="expression" dxfId="1282" priority="10096">
      <formula>$H255&lt;&gt;""</formula>
    </cfRule>
  </conditionalFormatting>
  <conditionalFormatting sqref="B255">
    <cfRule type="cellIs" dxfId="1281" priority="10092" operator="equal">
      <formula>"."</formula>
    </cfRule>
  </conditionalFormatting>
  <conditionalFormatting sqref="B406">
    <cfRule type="expression" dxfId="1280" priority="9987">
      <formula>AD406&lt;&gt;""</formula>
    </cfRule>
  </conditionalFormatting>
  <conditionalFormatting sqref="Z406">
    <cfRule type="cellIs" dxfId="1279" priority="9985" operator="greaterThan">
      <formula>0</formula>
    </cfRule>
    <cfRule type="cellIs" dxfId="1278" priority="9986" operator="lessThan">
      <formula>0</formula>
    </cfRule>
  </conditionalFormatting>
  <conditionalFormatting sqref="S406">
    <cfRule type="cellIs" dxfId="1277" priority="9984" operator="lessThan">
      <formula>0</formula>
    </cfRule>
  </conditionalFormatting>
  <conditionalFormatting sqref="T404:T405">
    <cfRule type="expression" dxfId="1276" priority="9988">
      <formula>#REF!="Yes"</formula>
    </cfRule>
  </conditionalFormatting>
  <conditionalFormatting sqref="P406">
    <cfRule type="cellIs" dxfId="1275" priority="9981" operator="equal">
      <formula>AS_DURATION_EFFORT</formula>
    </cfRule>
    <cfRule type="cellIs" dxfId="1274" priority="9982" operator="equal">
      <formula>AS_DEV_EFFORT</formula>
    </cfRule>
  </conditionalFormatting>
  <conditionalFormatting sqref="S410">
    <cfRule type="expression" dxfId="1273" priority="9797">
      <formula>#REF!="Yes"</formula>
    </cfRule>
  </conditionalFormatting>
  <conditionalFormatting sqref="B402">
    <cfRule type="expression" dxfId="1272" priority="9789">
      <formula>AD402&lt;&gt;""</formula>
    </cfRule>
  </conditionalFormatting>
  <conditionalFormatting sqref="B404:B405">
    <cfRule type="expression" dxfId="1271" priority="9788">
      <formula>AD404&lt;&gt;""</formula>
    </cfRule>
  </conditionalFormatting>
  <conditionalFormatting sqref="B410">
    <cfRule type="expression" dxfId="1270" priority="9787">
      <formula>AD410&lt;&gt;""</formula>
    </cfRule>
  </conditionalFormatting>
  <conditionalFormatting sqref="L16:AC17 L23:AC24 L28:M28 L35:M35 L43:M43 L49:M49 L58:M58 O28:AC28 O35:AC35 P43:AC43 L80:AC80 L75:AC76 L84:AC87 L91:AC98 O49:AC49 P58:AC58 L116:AC119 L123:AC127 L132:AC133 L138:AC139 L143:AC143 L148:AC149 L175:AC175 L180:AC180 L220:AC223 L230:AC230 L207:AC208 L212:AC212 L216:AC216 L406:AC406 L176:N176 R176:AC176 L182:AC183 L181:AA181 AC181 L187:AC190">
    <cfRule type="expression" dxfId="1269" priority="12076">
      <formula>AND($G16="Yes", $S$6="Exclude")</formula>
    </cfRule>
    <cfRule type="expression" dxfId="1268" priority="12077">
      <formula>$J16="Yes"</formula>
    </cfRule>
  </conditionalFormatting>
  <conditionalFormatting sqref="T5">
    <cfRule type="expression" dxfId="1267" priority="9370">
      <formula>OR($S$5="Reduce by:", $S$5="Increase by:")</formula>
    </cfRule>
  </conditionalFormatting>
  <conditionalFormatting sqref="F406">
    <cfRule type="expression" dxfId="1266" priority="6620">
      <formula>$K406&lt;&gt;""</formula>
    </cfRule>
  </conditionalFormatting>
  <conditionalFormatting sqref="C406">
    <cfRule type="expression" dxfId="1265" priority="6576">
      <formula>$G406&lt;&gt;"-"</formula>
    </cfRule>
  </conditionalFormatting>
  <conditionalFormatting sqref="D406">
    <cfRule type="expression" dxfId="1264" priority="6574">
      <formula>$H406&lt;&gt;"-"</formula>
    </cfRule>
  </conditionalFormatting>
  <conditionalFormatting sqref="E406">
    <cfRule type="expression" dxfId="1263" priority="6573">
      <formula>$I406&lt;&gt;"-"</formula>
    </cfRule>
  </conditionalFormatting>
  <conditionalFormatting sqref="B258">
    <cfRule type="cellIs" dxfId="1262" priority="3017" operator="equal">
      <formula>"."</formula>
    </cfRule>
  </conditionalFormatting>
  <conditionalFormatting sqref="B259">
    <cfRule type="cellIs" dxfId="1261" priority="3016" operator="equal">
      <formula>"."</formula>
    </cfRule>
  </conditionalFormatting>
  <conditionalFormatting sqref="B260">
    <cfRule type="cellIs" dxfId="1260" priority="3015" operator="equal">
      <formula>"."</formula>
    </cfRule>
  </conditionalFormatting>
  <conditionalFormatting sqref="B261">
    <cfRule type="cellIs" dxfId="1259" priority="3014" operator="equal">
      <formula>"."</formula>
    </cfRule>
  </conditionalFormatting>
  <conditionalFormatting sqref="B262">
    <cfRule type="cellIs" dxfId="1258" priority="3013" operator="equal">
      <formula>"."</formula>
    </cfRule>
  </conditionalFormatting>
  <conditionalFormatting sqref="B16">
    <cfRule type="expression" dxfId="1257" priority="3009">
      <formula>AD16&lt;&gt;""</formula>
    </cfRule>
  </conditionalFormatting>
  <conditionalFormatting sqref="Z16">
    <cfRule type="cellIs" dxfId="1256" priority="3007" operator="greaterThan">
      <formula>0</formula>
    </cfRule>
    <cfRule type="cellIs" dxfId="1255" priority="3008" operator="lessThan">
      <formula>0</formula>
    </cfRule>
  </conditionalFormatting>
  <conditionalFormatting sqref="S16">
    <cfRule type="cellIs" dxfId="1254" priority="3006" operator="lessThan">
      <formula>0</formula>
    </cfRule>
  </conditionalFormatting>
  <conditionalFormatting sqref="T14:T15">
    <cfRule type="expression" dxfId="1253" priority="3010">
      <formula>#REF!="Yes"</formula>
    </cfRule>
  </conditionalFormatting>
  <conditionalFormatting sqref="P16">
    <cfRule type="cellIs" dxfId="1252" priority="3004" operator="equal">
      <formula>AS_DURATION_EFFORT</formula>
    </cfRule>
    <cfRule type="cellIs" dxfId="1251" priority="3005" operator="equal">
      <formula>AS_DEV_EFFORT</formula>
    </cfRule>
  </conditionalFormatting>
  <conditionalFormatting sqref="B14:B15">
    <cfRule type="expression" dxfId="1250" priority="3003">
      <formula>AD14&lt;&gt;""</formula>
    </cfRule>
  </conditionalFormatting>
  <conditionalFormatting sqref="F16">
    <cfRule type="expression" dxfId="1249" priority="3002">
      <formula>$K16&lt;&gt;""</formula>
    </cfRule>
  </conditionalFormatting>
  <conditionalFormatting sqref="C16">
    <cfRule type="expression" dxfId="1248" priority="3001">
      <formula>$G16&lt;&gt;"-"</formula>
    </cfRule>
  </conditionalFormatting>
  <conditionalFormatting sqref="D16">
    <cfRule type="expression" dxfId="1247" priority="3000">
      <formula>$H16&lt;&gt;"-"</formula>
    </cfRule>
  </conditionalFormatting>
  <conditionalFormatting sqref="E16">
    <cfRule type="expression" dxfId="1246" priority="2999">
      <formula>$I16&lt;&gt;"-"</formula>
    </cfRule>
  </conditionalFormatting>
  <conditionalFormatting sqref="B17">
    <cfRule type="expression" dxfId="1245" priority="2996">
      <formula>AD17&lt;&gt;""</formula>
    </cfRule>
  </conditionalFormatting>
  <conditionalFormatting sqref="Z17">
    <cfRule type="cellIs" dxfId="1244" priority="2994" operator="greaterThan">
      <formula>0</formula>
    </cfRule>
    <cfRule type="cellIs" dxfId="1243" priority="2995" operator="lessThan">
      <formula>0</formula>
    </cfRule>
  </conditionalFormatting>
  <conditionalFormatting sqref="S17">
    <cfRule type="cellIs" dxfId="1242" priority="2993" operator="lessThan">
      <formula>0</formula>
    </cfRule>
  </conditionalFormatting>
  <conditionalFormatting sqref="P17">
    <cfRule type="cellIs" dxfId="1241" priority="2991" operator="equal">
      <formula>AS_DURATION_EFFORT</formula>
    </cfRule>
    <cfRule type="cellIs" dxfId="1240" priority="2992" operator="equal">
      <formula>AS_DEV_EFFORT</formula>
    </cfRule>
  </conditionalFormatting>
  <conditionalFormatting sqref="F17">
    <cfRule type="expression" dxfId="1239" priority="2990">
      <formula>$K17&lt;&gt;""</formula>
    </cfRule>
  </conditionalFormatting>
  <conditionalFormatting sqref="C17">
    <cfRule type="expression" dxfId="1238" priority="2989">
      <formula>$G17&lt;&gt;"-"</formula>
    </cfRule>
  </conditionalFormatting>
  <conditionalFormatting sqref="D17">
    <cfRule type="expression" dxfId="1237" priority="2988">
      <formula>$H17&lt;&gt;"-"</formula>
    </cfRule>
  </conditionalFormatting>
  <conditionalFormatting sqref="E17">
    <cfRule type="expression" dxfId="1236" priority="2987">
      <formula>$I17&lt;&gt;"-"</formula>
    </cfRule>
  </conditionalFormatting>
  <conditionalFormatting sqref="B75">
    <cfRule type="expression" dxfId="1235" priority="2983">
      <formula>AD75&lt;&gt;""</formula>
    </cfRule>
  </conditionalFormatting>
  <conditionalFormatting sqref="Z75">
    <cfRule type="cellIs" dxfId="1234" priority="2981" operator="greaterThan">
      <formula>0</formula>
    </cfRule>
    <cfRule type="cellIs" dxfId="1233" priority="2982" operator="lessThan">
      <formula>0</formula>
    </cfRule>
  </conditionalFormatting>
  <conditionalFormatting sqref="S75">
    <cfRule type="cellIs" dxfId="1232" priority="2980" operator="lessThan">
      <formula>0</formula>
    </cfRule>
  </conditionalFormatting>
  <conditionalFormatting sqref="T73:T74">
    <cfRule type="expression" dxfId="1231" priority="2984">
      <formula>#REF!="Yes"</formula>
    </cfRule>
  </conditionalFormatting>
  <conditionalFormatting sqref="P75">
    <cfRule type="cellIs" dxfId="1230" priority="2978" operator="equal">
      <formula>AS_DURATION_EFFORT</formula>
    </cfRule>
    <cfRule type="cellIs" dxfId="1229" priority="2979" operator="equal">
      <formula>AS_DEV_EFFORT</formula>
    </cfRule>
  </conditionalFormatting>
  <conditionalFormatting sqref="B73:B74">
    <cfRule type="expression" dxfId="1228" priority="2977">
      <formula>AD73&lt;&gt;""</formula>
    </cfRule>
  </conditionalFormatting>
  <conditionalFormatting sqref="F75">
    <cfRule type="expression" dxfId="1227" priority="2976">
      <formula>$K75&lt;&gt;""</formula>
    </cfRule>
  </conditionalFormatting>
  <conditionalFormatting sqref="C75">
    <cfRule type="expression" dxfId="1226" priority="2975">
      <formula>$G75&lt;&gt;"-"</formula>
    </cfRule>
  </conditionalFormatting>
  <conditionalFormatting sqref="D75">
    <cfRule type="expression" dxfId="1225" priority="2974">
      <formula>$H75&lt;&gt;"-"</formula>
    </cfRule>
  </conditionalFormatting>
  <conditionalFormatting sqref="E75">
    <cfRule type="expression" dxfId="1224" priority="2973">
      <formula>$I75&lt;&gt;"-"</formula>
    </cfRule>
  </conditionalFormatting>
  <conditionalFormatting sqref="B116">
    <cfRule type="expression" dxfId="1223" priority="2913">
      <formula>AD116&lt;&gt;""</formula>
    </cfRule>
  </conditionalFormatting>
  <conditionalFormatting sqref="Z116">
    <cfRule type="cellIs" dxfId="1222" priority="2911" operator="greaterThan">
      <formula>0</formula>
    </cfRule>
    <cfRule type="cellIs" dxfId="1221" priority="2912" operator="lessThan">
      <formula>0</formula>
    </cfRule>
  </conditionalFormatting>
  <conditionalFormatting sqref="S116">
    <cfRule type="cellIs" dxfId="1220" priority="2910" operator="lessThan">
      <formula>0</formula>
    </cfRule>
  </conditionalFormatting>
  <conditionalFormatting sqref="T114:T115">
    <cfRule type="expression" dxfId="1219" priority="2914">
      <formula>#REF!="Yes"</formula>
    </cfRule>
  </conditionalFormatting>
  <conditionalFormatting sqref="P116">
    <cfRule type="cellIs" dxfId="1218" priority="2908" operator="equal">
      <formula>AS_DURATION_EFFORT</formula>
    </cfRule>
    <cfRule type="cellIs" dxfId="1217" priority="2909" operator="equal">
      <formula>AS_DEV_EFFORT</formula>
    </cfRule>
  </conditionalFormatting>
  <conditionalFormatting sqref="B114:B115">
    <cfRule type="expression" dxfId="1216" priority="2907">
      <formula>AD114&lt;&gt;""</formula>
    </cfRule>
  </conditionalFormatting>
  <conditionalFormatting sqref="F116">
    <cfRule type="expression" dxfId="1215" priority="2906">
      <formula>$K116&lt;&gt;""</formula>
    </cfRule>
  </conditionalFormatting>
  <conditionalFormatting sqref="C116">
    <cfRule type="expression" dxfId="1214" priority="2905">
      <formula>$G116&lt;&gt;"-"</formula>
    </cfRule>
  </conditionalFormatting>
  <conditionalFormatting sqref="D116">
    <cfRule type="expression" dxfId="1213" priority="2904">
      <formula>$H116&lt;&gt;"-"</formula>
    </cfRule>
  </conditionalFormatting>
  <conditionalFormatting sqref="E116">
    <cfRule type="expression" dxfId="1212" priority="2903">
      <formula>$I116&lt;&gt;"-"</formula>
    </cfRule>
  </conditionalFormatting>
  <conditionalFormatting sqref="B138">
    <cfRule type="expression" dxfId="1211" priority="2899">
      <formula>AD138&lt;&gt;""</formula>
    </cfRule>
  </conditionalFormatting>
  <conditionalFormatting sqref="Z138">
    <cfRule type="cellIs" dxfId="1210" priority="2897" operator="greaterThan">
      <formula>0</formula>
    </cfRule>
    <cfRule type="cellIs" dxfId="1209" priority="2898" operator="lessThan">
      <formula>0</formula>
    </cfRule>
  </conditionalFormatting>
  <conditionalFormatting sqref="S138">
    <cfRule type="cellIs" dxfId="1208" priority="2896" operator="lessThan">
      <formula>0</formula>
    </cfRule>
  </conditionalFormatting>
  <conditionalFormatting sqref="T136:T137">
    <cfRule type="expression" dxfId="1207" priority="2900">
      <formula>#REF!="Yes"</formula>
    </cfRule>
  </conditionalFormatting>
  <conditionalFormatting sqref="P138">
    <cfRule type="cellIs" dxfId="1206" priority="2894" operator="equal">
      <formula>AS_DURATION_EFFORT</formula>
    </cfRule>
    <cfRule type="cellIs" dxfId="1205" priority="2895" operator="equal">
      <formula>AS_DEV_EFFORT</formula>
    </cfRule>
  </conditionalFormatting>
  <conditionalFormatting sqref="B136:B137">
    <cfRule type="expression" dxfId="1204" priority="2893">
      <formula>AD136&lt;&gt;""</formula>
    </cfRule>
  </conditionalFormatting>
  <conditionalFormatting sqref="F138">
    <cfRule type="expression" dxfId="1203" priority="2892">
      <formula>$K138&lt;&gt;""</formula>
    </cfRule>
  </conditionalFormatting>
  <conditionalFormatting sqref="C138">
    <cfRule type="expression" dxfId="1202" priority="2891">
      <formula>$G138&lt;&gt;"-"</formula>
    </cfRule>
  </conditionalFormatting>
  <conditionalFormatting sqref="D138">
    <cfRule type="expression" dxfId="1201" priority="2890">
      <formula>$H138&lt;&gt;"-"</formula>
    </cfRule>
  </conditionalFormatting>
  <conditionalFormatting sqref="E138">
    <cfRule type="expression" dxfId="1200" priority="2889">
      <formula>$I138&lt;&gt;"-"</formula>
    </cfRule>
  </conditionalFormatting>
  <conditionalFormatting sqref="B132">
    <cfRule type="expression" dxfId="1199" priority="2885">
      <formula>AD132&lt;&gt;""</formula>
    </cfRule>
  </conditionalFormatting>
  <conditionalFormatting sqref="Z132">
    <cfRule type="cellIs" dxfId="1198" priority="2883" operator="greaterThan">
      <formula>0</formula>
    </cfRule>
    <cfRule type="cellIs" dxfId="1197" priority="2884" operator="lessThan">
      <formula>0</formula>
    </cfRule>
  </conditionalFormatting>
  <conditionalFormatting sqref="S132">
    <cfRule type="cellIs" dxfId="1196" priority="2882" operator="lessThan">
      <formula>0</formula>
    </cfRule>
  </conditionalFormatting>
  <conditionalFormatting sqref="T130:T131">
    <cfRule type="expression" dxfId="1195" priority="2886">
      <formula>#REF!="Yes"</formula>
    </cfRule>
  </conditionalFormatting>
  <conditionalFormatting sqref="P132">
    <cfRule type="cellIs" dxfId="1194" priority="2880" operator="equal">
      <formula>AS_DURATION_EFFORT</formula>
    </cfRule>
    <cfRule type="cellIs" dxfId="1193" priority="2881" operator="equal">
      <formula>AS_DEV_EFFORT</formula>
    </cfRule>
  </conditionalFormatting>
  <conditionalFormatting sqref="B130:B131">
    <cfRule type="expression" dxfId="1192" priority="2879">
      <formula>AD130&lt;&gt;""</formula>
    </cfRule>
  </conditionalFormatting>
  <conditionalFormatting sqref="F132">
    <cfRule type="expression" dxfId="1191" priority="2878">
      <formula>$K132&lt;&gt;""</formula>
    </cfRule>
  </conditionalFormatting>
  <conditionalFormatting sqref="C132">
    <cfRule type="expression" dxfId="1190" priority="2877">
      <formula>$G132&lt;&gt;"-"</formula>
    </cfRule>
  </conditionalFormatting>
  <conditionalFormatting sqref="D132">
    <cfRule type="expression" dxfId="1189" priority="2876">
      <formula>$H132&lt;&gt;"-"</formula>
    </cfRule>
  </conditionalFormatting>
  <conditionalFormatting sqref="E132">
    <cfRule type="expression" dxfId="1188" priority="2875">
      <formula>$I132&lt;&gt;"-"</formula>
    </cfRule>
  </conditionalFormatting>
  <conditionalFormatting sqref="B123">
    <cfRule type="expression" dxfId="1187" priority="2871">
      <formula>AD123&lt;&gt;""</formula>
    </cfRule>
  </conditionalFormatting>
  <conditionalFormatting sqref="Z123">
    <cfRule type="cellIs" dxfId="1186" priority="2869" operator="greaterThan">
      <formula>0</formula>
    </cfRule>
    <cfRule type="cellIs" dxfId="1185" priority="2870" operator="lessThan">
      <formula>0</formula>
    </cfRule>
  </conditionalFormatting>
  <conditionalFormatting sqref="S123">
    <cfRule type="cellIs" dxfId="1184" priority="2868" operator="lessThan">
      <formula>0</formula>
    </cfRule>
  </conditionalFormatting>
  <conditionalFormatting sqref="T121:T122">
    <cfRule type="expression" dxfId="1183" priority="2872">
      <formula>#REF!="Yes"</formula>
    </cfRule>
  </conditionalFormatting>
  <conditionalFormatting sqref="P123">
    <cfRule type="cellIs" dxfId="1182" priority="2866" operator="equal">
      <formula>AS_DURATION_EFFORT</formula>
    </cfRule>
    <cfRule type="cellIs" dxfId="1181" priority="2867" operator="equal">
      <formula>AS_DEV_EFFORT</formula>
    </cfRule>
  </conditionalFormatting>
  <conditionalFormatting sqref="B121:B122">
    <cfRule type="expression" dxfId="1180" priority="2865">
      <formula>AD121&lt;&gt;""</formula>
    </cfRule>
  </conditionalFormatting>
  <conditionalFormatting sqref="F123">
    <cfRule type="expression" dxfId="1179" priority="2864">
      <formula>$K123&lt;&gt;""</formula>
    </cfRule>
  </conditionalFormatting>
  <conditionalFormatting sqref="C123">
    <cfRule type="expression" dxfId="1178" priority="2863">
      <formula>$G123&lt;&gt;"-"</formula>
    </cfRule>
  </conditionalFormatting>
  <conditionalFormatting sqref="D123">
    <cfRule type="expression" dxfId="1177" priority="2862">
      <formula>$H123&lt;&gt;"-"</formula>
    </cfRule>
  </conditionalFormatting>
  <conditionalFormatting sqref="E123">
    <cfRule type="expression" dxfId="1176" priority="2861">
      <formula>$I123&lt;&gt;"-"</formula>
    </cfRule>
  </conditionalFormatting>
  <conditionalFormatting sqref="S129">
    <cfRule type="expression" dxfId="1175" priority="2856">
      <formula>#REF!="Yes"</formula>
    </cfRule>
  </conditionalFormatting>
  <conditionalFormatting sqref="B129">
    <cfRule type="expression" dxfId="1174" priority="2855">
      <formula>AD129&lt;&gt;""</formula>
    </cfRule>
  </conditionalFormatting>
  <conditionalFormatting sqref="B23">
    <cfRule type="expression" dxfId="1173" priority="2851">
      <formula>AD23&lt;&gt;""</formula>
    </cfRule>
  </conditionalFormatting>
  <conditionalFormatting sqref="Z23">
    <cfRule type="cellIs" dxfId="1172" priority="2849" operator="greaterThan">
      <formula>0</formula>
    </cfRule>
    <cfRule type="cellIs" dxfId="1171" priority="2850" operator="lessThan">
      <formula>0</formula>
    </cfRule>
  </conditionalFormatting>
  <conditionalFormatting sqref="S23">
    <cfRule type="cellIs" dxfId="1170" priority="2848" operator="lessThan">
      <formula>0</formula>
    </cfRule>
  </conditionalFormatting>
  <conditionalFormatting sqref="T20:T21">
    <cfRule type="expression" dxfId="1169" priority="2852">
      <formula>#REF!="Yes"</formula>
    </cfRule>
  </conditionalFormatting>
  <conditionalFormatting sqref="P23">
    <cfRule type="cellIs" dxfId="1168" priority="2846" operator="equal">
      <formula>AS_DURATION_EFFORT</formula>
    </cfRule>
    <cfRule type="cellIs" dxfId="1167" priority="2847" operator="equal">
      <formula>AS_DEV_EFFORT</formula>
    </cfRule>
  </conditionalFormatting>
  <conditionalFormatting sqref="B20:B21">
    <cfRule type="expression" dxfId="1166" priority="2845">
      <formula>AD20&lt;&gt;""</formula>
    </cfRule>
  </conditionalFormatting>
  <conditionalFormatting sqref="F23">
    <cfRule type="expression" dxfId="1165" priority="2844">
      <formula>$K23&lt;&gt;""</formula>
    </cfRule>
  </conditionalFormatting>
  <conditionalFormatting sqref="C23">
    <cfRule type="expression" dxfId="1164" priority="2843">
      <formula>$G23&lt;&gt;"-"</formula>
    </cfRule>
  </conditionalFormatting>
  <conditionalFormatting sqref="D23">
    <cfRule type="expression" dxfId="1163" priority="2842">
      <formula>$H23&lt;&gt;"-"</formula>
    </cfRule>
  </conditionalFormatting>
  <conditionalFormatting sqref="E23">
    <cfRule type="expression" dxfId="1162" priority="2841">
      <formula>$I23&lt;&gt;"-"</formula>
    </cfRule>
  </conditionalFormatting>
  <conditionalFormatting sqref="B24">
    <cfRule type="expression" dxfId="1161" priority="2838">
      <formula>AD24&lt;&gt;""</formula>
    </cfRule>
  </conditionalFormatting>
  <conditionalFormatting sqref="Z24">
    <cfRule type="cellIs" dxfId="1160" priority="2836" operator="greaterThan">
      <formula>0</formula>
    </cfRule>
    <cfRule type="cellIs" dxfId="1159" priority="2837" operator="lessThan">
      <formula>0</formula>
    </cfRule>
  </conditionalFormatting>
  <conditionalFormatting sqref="S24">
    <cfRule type="cellIs" dxfId="1158" priority="2835" operator="lessThan">
      <formula>0</formula>
    </cfRule>
  </conditionalFormatting>
  <conditionalFormatting sqref="P24">
    <cfRule type="cellIs" dxfId="1157" priority="2833" operator="equal">
      <formula>AS_DURATION_EFFORT</formula>
    </cfRule>
    <cfRule type="cellIs" dxfId="1156" priority="2834" operator="equal">
      <formula>AS_DEV_EFFORT</formula>
    </cfRule>
  </conditionalFormatting>
  <conditionalFormatting sqref="F24">
    <cfRule type="expression" dxfId="1155" priority="2832">
      <formula>$K24&lt;&gt;""</formula>
    </cfRule>
  </conditionalFormatting>
  <conditionalFormatting sqref="C24">
    <cfRule type="expression" dxfId="1154" priority="2831">
      <formula>$G24&lt;&gt;"-"</formula>
    </cfRule>
  </conditionalFormatting>
  <conditionalFormatting sqref="D24">
    <cfRule type="expression" dxfId="1153" priority="2830">
      <formula>$H24&lt;&gt;"-"</formula>
    </cfRule>
  </conditionalFormatting>
  <conditionalFormatting sqref="E24">
    <cfRule type="expression" dxfId="1152" priority="2829">
      <formula>$I24&lt;&gt;"-"</formula>
    </cfRule>
  </conditionalFormatting>
  <conditionalFormatting sqref="B80">
    <cfRule type="expression" dxfId="1151" priority="2775">
      <formula>AD80&lt;&gt;""</formula>
    </cfRule>
  </conditionalFormatting>
  <conditionalFormatting sqref="Z80">
    <cfRule type="cellIs" dxfId="1150" priority="2773" operator="greaterThan">
      <formula>0</formula>
    </cfRule>
    <cfRule type="cellIs" dxfId="1149" priority="2774" operator="lessThan">
      <formula>0</formula>
    </cfRule>
  </conditionalFormatting>
  <conditionalFormatting sqref="S80">
    <cfRule type="cellIs" dxfId="1148" priority="2772" operator="lessThan">
      <formula>0</formula>
    </cfRule>
  </conditionalFormatting>
  <conditionalFormatting sqref="T78:T79">
    <cfRule type="expression" dxfId="1147" priority="2776">
      <formula>#REF!="Yes"</formula>
    </cfRule>
  </conditionalFormatting>
  <conditionalFormatting sqref="P80">
    <cfRule type="cellIs" dxfId="1146" priority="2770" operator="equal">
      <formula>AS_DURATION_EFFORT</formula>
    </cfRule>
    <cfRule type="cellIs" dxfId="1145" priority="2771" operator="equal">
      <formula>AS_DEV_EFFORT</formula>
    </cfRule>
  </conditionalFormatting>
  <conditionalFormatting sqref="B78:B79">
    <cfRule type="expression" dxfId="1144" priority="2769">
      <formula>AD78&lt;&gt;""</formula>
    </cfRule>
  </conditionalFormatting>
  <conditionalFormatting sqref="F80">
    <cfRule type="expression" dxfId="1143" priority="2768">
      <formula>$K80&lt;&gt;""</formula>
    </cfRule>
  </conditionalFormatting>
  <conditionalFormatting sqref="C80">
    <cfRule type="expression" dxfId="1142" priority="2767">
      <formula>$G80&lt;&gt;"-"</formula>
    </cfRule>
  </conditionalFormatting>
  <conditionalFormatting sqref="D80">
    <cfRule type="expression" dxfId="1141" priority="2766">
      <formula>$H80&lt;&gt;"-"</formula>
    </cfRule>
  </conditionalFormatting>
  <conditionalFormatting sqref="E80">
    <cfRule type="expression" dxfId="1140" priority="2765">
      <formula>$I80&lt;&gt;"-"</formula>
    </cfRule>
  </conditionalFormatting>
  <conditionalFormatting sqref="B84">
    <cfRule type="expression" dxfId="1139" priority="2761">
      <formula>AD84&lt;&gt;""</formula>
    </cfRule>
  </conditionalFormatting>
  <conditionalFormatting sqref="Z84">
    <cfRule type="cellIs" dxfId="1138" priority="2759" operator="greaterThan">
      <formula>0</formula>
    </cfRule>
    <cfRule type="cellIs" dxfId="1137" priority="2760" operator="lessThan">
      <formula>0</formula>
    </cfRule>
  </conditionalFormatting>
  <conditionalFormatting sqref="S84">
    <cfRule type="cellIs" dxfId="1136" priority="2758" operator="lessThan">
      <formula>0</formula>
    </cfRule>
  </conditionalFormatting>
  <conditionalFormatting sqref="T82:T83">
    <cfRule type="expression" dxfId="1135" priority="2762">
      <formula>#REF!="Yes"</formula>
    </cfRule>
  </conditionalFormatting>
  <conditionalFormatting sqref="P84">
    <cfRule type="cellIs" dxfId="1134" priority="2756" operator="equal">
      <formula>AS_DURATION_EFFORT</formula>
    </cfRule>
    <cfRule type="cellIs" dxfId="1133" priority="2757" operator="equal">
      <formula>AS_DEV_EFFORT</formula>
    </cfRule>
  </conditionalFormatting>
  <conditionalFormatting sqref="B82:B83">
    <cfRule type="expression" dxfId="1132" priority="2755">
      <formula>AD82&lt;&gt;""</formula>
    </cfRule>
  </conditionalFormatting>
  <conditionalFormatting sqref="F84">
    <cfRule type="expression" dxfId="1131" priority="2754">
      <formula>$K84&lt;&gt;""</formula>
    </cfRule>
  </conditionalFormatting>
  <conditionalFormatting sqref="C84">
    <cfRule type="expression" dxfId="1130" priority="2753">
      <formula>$G84&lt;&gt;"-"</formula>
    </cfRule>
  </conditionalFormatting>
  <conditionalFormatting sqref="D84">
    <cfRule type="expression" dxfId="1129" priority="2752">
      <formula>$H84&lt;&gt;"-"</formula>
    </cfRule>
  </conditionalFormatting>
  <conditionalFormatting sqref="E84">
    <cfRule type="expression" dxfId="1128" priority="2751">
      <formula>$I84&lt;&gt;"-"</formula>
    </cfRule>
  </conditionalFormatting>
  <conditionalFormatting sqref="B91">
    <cfRule type="expression" dxfId="1127" priority="2747">
      <formula>AD91&lt;&gt;""</formula>
    </cfRule>
  </conditionalFormatting>
  <conditionalFormatting sqref="Z91">
    <cfRule type="cellIs" dxfId="1126" priority="2745" operator="greaterThan">
      <formula>0</formula>
    </cfRule>
    <cfRule type="cellIs" dxfId="1125" priority="2746" operator="lessThan">
      <formula>0</formula>
    </cfRule>
  </conditionalFormatting>
  <conditionalFormatting sqref="S91">
    <cfRule type="cellIs" dxfId="1124" priority="2744" operator="lessThan">
      <formula>0</formula>
    </cfRule>
  </conditionalFormatting>
  <conditionalFormatting sqref="T89:T90">
    <cfRule type="expression" dxfId="1123" priority="2748">
      <formula>#REF!="Yes"</formula>
    </cfRule>
  </conditionalFormatting>
  <conditionalFormatting sqref="P91">
    <cfRule type="cellIs" dxfId="1122" priority="2742" operator="equal">
      <formula>AS_DURATION_EFFORT</formula>
    </cfRule>
    <cfRule type="cellIs" dxfId="1121" priority="2743" operator="equal">
      <formula>AS_DEV_EFFORT</formula>
    </cfRule>
  </conditionalFormatting>
  <conditionalFormatting sqref="B89:B90">
    <cfRule type="expression" dxfId="1120" priority="2741">
      <formula>AD89&lt;&gt;""</formula>
    </cfRule>
  </conditionalFormatting>
  <conditionalFormatting sqref="F91">
    <cfRule type="expression" dxfId="1119" priority="2740">
      <formula>$K91&lt;&gt;""</formula>
    </cfRule>
  </conditionalFormatting>
  <conditionalFormatting sqref="C91">
    <cfRule type="expression" dxfId="1118" priority="2739">
      <formula>$G91&lt;&gt;"-"</formula>
    </cfRule>
  </conditionalFormatting>
  <conditionalFormatting sqref="D91">
    <cfRule type="expression" dxfId="1117" priority="2738">
      <formula>$H91&lt;&gt;"-"</formula>
    </cfRule>
  </conditionalFormatting>
  <conditionalFormatting sqref="E91">
    <cfRule type="expression" dxfId="1116" priority="2737">
      <formula>$I91&lt;&gt;"-"</formula>
    </cfRule>
  </conditionalFormatting>
  <conditionalFormatting sqref="B76">
    <cfRule type="expression" dxfId="1115" priority="2706">
      <formula>AD76&lt;&gt;""</formula>
    </cfRule>
  </conditionalFormatting>
  <conditionalFormatting sqref="Z76">
    <cfRule type="cellIs" dxfId="1114" priority="2704" operator="greaterThan">
      <formula>0</formula>
    </cfRule>
    <cfRule type="cellIs" dxfId="1113" priority="2705" operator="lessThan">
      <formula>0</formula>
    </cfRule>
  </conditionalFormatting>
  <conditionalFormatting sqref="S76">
    <cfRule type="cellIs" dxfId="1112" priority="2703" operator="lessThan">
      <formula>0</formula>
    </cfRule>
  </conditionalFormatting>
  <conditionalFormatting sqref="P76">
    <cfRule type="cellIs" dxfId="1111" priority="2701" operator="equal">
      <formula>AS_DURATION_EFFORT</formula>
    </cfRule>
    <cfRule type="cellIs" dxfId="1110" priority="2702" operator="equal">
      <formula>AS_DEV_EFFORT</formula>
    </cfRule>
  </conditionalFormatting>
  <conditionalFormatting sqref="F76">
    <cfRule type="expression" dxfId="1109" priority="2700">
      <formula>$K76&lt;&gt;""</formula>
    </cfRule>
  </conditionalFormatting>
  <conditionalFormatting sqref="C76">
    <cfRule type="expression" dxfId="1108" priority="2699">
      <formula>$G76&lt;&gt;"-"</formula>
    </cfRule>
  </conditionalFormatting>
  <conditionalFormatting sqref="D76">
    <cfRule type="expression" dxfId="1107" priority="2698">
      <formula>$H76&lt;&gt;"-"</formula>
    </cfRule>
  </conditionalFormatting>
  <conditionalFormatting sqref="E76">
    <cfRule type="expression" dxfId="1106" priority="2697">
      <formula>$I76&lt;&gt;"-"</formula>
    </cfRule>
  </conditionalFormatting>
  <conditionalFormatting sqref="B85">
    <cfRule type="expression" dxfId="1105" priority="2694">
      <formula>AD85&lt;&gt;""</formula>
    </cfRule>
  </conditionalFormatting>
  <conditionalFormatting sqref="Z85">
    <cfRule type="cellIs" dxfId="1104" priority="2692" operator="greaterThan">
      <formula>0</formula>
    </cfRule>
    <cfRule type="cellIs" dxfId="1103" priority="2693" operator="lessThan">
      <formula>0</formula>
    </cfRule>
  </conditionalFormatting>
  <conditionalFormatting sqref="S85">
    <cfRule type="cellIs" dxfId="1102" priority="2691" operator="lessThan">
      <formula>0</formula>
    </cfRule>
  </conditionalFormatting>
  <conditionalFormatting sqref="P85">
    <cfRule type="cellIs" dxfId="1101" priority="2689" operator="equal">
      <formula>AS_DURATION_EFFORT</formula>
    </cfRule>
    <cfRule type="cellIs" dxfId="1100" priority="2690" operator="equal">
      <formula>AS_DEV_EFFORT</formula>
    </cfRule>
  </conditionalFormatting>
  <conditionalFormatting sqref="F85">
    <cfRule type="expression" dxfId="1099" priority="2688">
      <formula>$K85&lt;&gt;""</formula>
    </cfRule>
  </conditionalFormatting>
  <conditionalFormatting sqref="C85">
    <cfRule type="expression" dxfId="1098" priority="2687">
      <formula>$G85&lt;&gt;"-"</formula>
    </cfRule>
  </conditionalFormatting>
  <conditionalFormatting sqref="D85">
    <cfRule type="expression" dxfId="1097" priority="2686">
      <formula>$H85&lt;&gt;"-"</formula>
    </cfRule>
  </conditionalFormatting>
  <conditionalFormatting sqref="E85">
    <cfRule type="expression" dxfId="1096" priority="2685">
      <formula>$I85&lt;&gt;"-"</formula>
    </cfRule>
  </conditionalFormatting>
  <conditionalFormatting sqref="B86">
    <cfRule type="expression" dxfId="1095" priority="2682">
      <formula>AD86&lt;&gt;""</formula>
    </cfRule>
  </conditionalFormatting>
  <conditionalFormatting sqref="Z86">
    <cfRule type="cellIs" dxfId="1094" priority="2680" operator="greaterThan">
      <formula>0</formula>
    </cfRule>
    <cfRule type="cellIs" dxfId="1093" priority="2681" operator="lessThan">
      <formula>0</formula>
    </cfRule>
  </conditionalFormatting>
  <conditionalFormatting sqref="S86">
    <cfRule type="cellIs" dxfId="1092" priority="2679" operator="lessThan">
      <formula>0</formula>
    </cfRule>
  </conditionalFormatting>
  <conditionalFormatting sqref="P86">
    <cfRule type="cellIs" dxfId="1091" priority="2677" operator="equal">
      <formula>AS_DURATION_EFFORT</formula>
    </cfRule>
    <cfRule type="cellIs" dxfId="1090" priority="2678" operator="equal">
      <formula>AS_DEV_EFFORT</formula>
    </cfRule>
  </conditionalFormatting>
  <conditionalFormatting sqref="F86">
    <cfRule type="expression" dxfId="1089" priority="2676">
      <formula>$K86&lt;&gt;""</formula>
    </cfRule>
  </conditionalFormatting>
  <conditionalFormatting sqref="C86">
    <cfRule type="expression" dxfId="1088" priority="2675">
      <formula>$G86&lt;&gt;"-"</formula>
    </cfRule>
  </conditionalFormatting>
  <conditionalFormatting sqref="D86">
    <cfRule type="expression" dxfId="1087" priority="2674">
      <formula>$H86&lt;&gt;"-"</formula>
    </cfRule>
  </conditionalFormatting>
  <conditionalFormatting sqref="E86">
    <cfRule type="expression" dxfId="1086" priority="2673">
      <formula>$I86&lt;&gt;"-"</formula>
    </cfRule>
  </conditionalFormatting>
  <conditionalFormatting sqref="B87">
    <cfRule type="expression" dxfId="1085" priority="2670">
      <formula>AD87&lt;&gt;""</formula>
    </cfRule>
  </conditionalFormatting>
  <conditionalFormatting sqref="Z87">
    <cfRule type="cellIs" dxfId="1084" priority="2668" operator="greaterThan">
      <formula>0</formula>
    </cfRule>
    <cfRule type="cellIs" dxfId="1083" priority="2669" operator="lessThan">
      <formula>0</formula>
    </cfRule>
  </conditionalFormatting>
  <conditionalFormatting sqref="S87">
    <cfRule type="cellIs" dxfId="1082" priority="2667" operator="lessThan">
      <formula>0</formula>
    </cfRule>
  </conditionalFormatting>
  <conditionalFormatting sqref="P87">
    <cfRule type="cellIs" dxfId="1081" priority="2665" operator="equal">
      <formula>AS_DURATION_EFFORT</formula>
    </cfRule>
    <cfRule type="cellIs" dxfId="1080" priority="2666" operator="equal">
      <formula>AS_DEV_EFFORT</formula>
    </cfRule>
  </conditionalFormatting>
  <conditionalFormatting sqref="F87">
    <cfRule type="expression" dxfId="1079" priority="2664">
      <formula>$K87&lt;&gt;""</formula>
    </cfRule>
  </conditionalFormatting>
  <conditionalFormatting sqref="C87">
    <cfRule type="expression" dxfId="1078" priority="2663">
      <formula>$G87&lt;&gt;"-"</formula>
    </cfRule>
  </conditionalFormatting>
  <conditionalFormatting sqref="D87">
    <cfRule type="expression" dxfId="1077" priority="2662">
      <formula>$H87&lt;&gt;"-"</formula>
    </cfRule>
  </conditionalFormatting>
  <conditionalFormatting sqref="E87">
    <cfRule type="expression" dxfId="1076" priority="2661">
      <formula>$I87&lt;&gt;"-"</formula>
    </cfRule>
  </conditionalFormatting>
  <conditionalFormatting sqref="B98">
    <cfRule type="expression" dxfId="1075" priority="2622">
      <formula>AD98&lt;&gt;""</formula>
    </cfRule>
  </conditionalFormatting>
  <conditionalFormatting sqref="Z98">
    <cfRule type="cellIs" dxfId="1074" priority="2620" operator="greaterThan">
      <formula>0</formula>
    </cfRule>
    <cfRule type="cellIs" dxfId="1073" priority="2621" operator="lessThan">
      <formula>0</formula>
    </cfRule>
  </conditionalFormatting>
  <conditionalFormatting sqref="S98">
    <cfRule type="cellIs" dxfId="1072" priority="2619" operator="lessThan">
      <formula>0</formula>
    </cfRule>
  </conditionalFormatting>
  <conditionalFormatting sqref="P98">
    <cfRule type="cellIs" dxfId="1071" priority="2617" operator="equal">
      <formula>AS_DURATION_EFFORT</formula>
    </cfRule>
    <cfRule type="cellIs" dxfId="1070" priority="2618" operator="equal">
      <formula>AS_DEV_EFFORT</formula>
    </cfRule>
  </conditionalFormatting>
  <conditionalFormatting sqref="F98">
    <cfRule type="expression" dxfId="1069" priority="2616">
      <formula>$K98&lt;&gt;""</formula>
    </cfRule>
  </conditionalFormatting>
  <conditionalFormatting sqref="C98">
    <cfRule type="expression" dxfId="1068" priority="2615">
      <formula>$G98&lt;&gt;"-"</formula>
    </cfRule>
  </conditionalFormatting>
  <conditionalFormatting sqref="D98">
    <cfRule type="expression" dxfId="1067" priority="2614">
      <formula>$H98&lt;&gt;"-"</formula>
    </cfRule>
  </conditionalFormatting>
  <conditionalFormatting sqref="E98">
    <cfRule type="expression" dxfId="1066" priority="2613">
      <formula>$I98&lt;&gt;"-"</formula>
    </cfRule>
  </conditionalFormatting>
  <conditionalFormatting sqref="B97">
    <cfRule type="expression" dxfId="1065" priority="2610">
      <formula>AD97&lt;&gt;""</formula>
    </cfRule>
  </conditionalFormatting>
  <conditionalFormatting sqref="Z97">
    <cfRule type="cellIs" dxfId="1064" priority="2608" operator="greaterThan">
      <formula>0</formula>
    </cfRule>
    <cfRule type="cellIs" dxfId="1063" priority="2609" operator="lessThan">
      <formula>0</formula>
    </cfRule>
  </conditionalFormatting>
  <conditionalFormatting sqref="S97">
    <cfRule type="cellIs" dxfId="1062" priority="2607" operator="lessThan">
      <formula>0</formula>
    </cfRule>
  </conditionalFormatting>
  <conditionalFormatting sqref="P97">
    <cfRule type="cellIs" dxfId="1061" priority="2605" operator="equal">
      <formula>AS_DURATION_EFFORT</formula>
    </cfRule>
    <cfRule type="cellIs" dxfId="1060" priority="2606" operator="equal">
      <formula>AS_DEV_EFFORT</formula>
    </cfRule>
  </conditionalFormatting>
  <conditionalFormatting sqref="F97">
    <cfRule type="expression" dxfId="1059" priority="2604">
      <formula>$K97&lt;&gt;""</formula>
    </cfRule>
  </conditionalFormatting>
  <conditionalFormatting sqref="C97">
    <cfRule type="expression" dxfId="1058" priority="2603">
      <formula>$G97&lt;&gt;"-"</formula>
    </cfRule>
  </conditionalFormatting>
  <conditionalFormatting sqref="D97">
    <cfRule type="expression" dxfId="1057" priority="2602">
      <formula>$H97&lt;&gt;"-"</formula>
    </cfRule>
  </conditionalFormatting>
  <conditionalFormatting sqref="E97">
    <cfRule type="expression" dxfId="1056" priority="2601">
      <formula>$I97&lt;&gt;"-"</formula>
    </cfRule>
  </conditionalFormatting>
  <conditionalFormatting sqref="B96">
    <cfRule type="expression" dxfId="1055" priority="2598">
      <formula>AD96&lt;&gt;""</formula>
    </cfRule>
  </conditionalFormatting>
  <conditionalFormatting sqref="Z96">
    <cfRule type="cellIs" dxfId="1054" priority="2596" operator="greaterThan">
      <formula>0</formula>
    </cfRule>
    <cfRule type="cellIs" dxfId="1053" priority="2597" operator="lessThan">
      <formula>0</formula>
    </cfRule>
  </conditionalFormatting>
  <conditionalFormatting sqref="S96">
    <cfRule type="cellIs" dxfId="1052" priority="2595" operator="lessThan">
      <formula>0</formula>
    </cfRule>
  </conditionalFormatting>
  <conditionalFormatting sqref="P96">
    <cfRule type="cellIs" dxfId="1051" priority="2593" operator="equal">
      <formula>AS_DURATION_EFFORT</formula>
    </cfRule>
    <cfRule type="cellIs" dxfId="1050" priority="2594" operator="equal">
      <formula>AS_DEV_EFFORT</formula>
    </cfRule>
  </conditionalFormatting>
  <conditionalFormatting sqref="F96">
    <cfRule type="expression" dxfId="1049" priority="2592">
      <formula>$K96&lt;&gt;""</formula>
    </cfRule>
  </conditionalFormatting>
  <conditionalFormatting sqref="C96">
    <cfRule type="expression" dxfId="1048" priority="2591">
      <formula>$G96&lt;&gt;"-"</formula>
    </cfRule>
  </conditionalFormatting>
  <conditionalFormatting sqref="D96">
    <cfRule type="expression" dxfId="1047" priority="2590">
      <formula>$H96&lt;&gt;"-"</formula>
    </cfRule>
  </conditionalFormatting>
  <conditionalFormatting sqref="E96">
    <cfRule type="expression" dxfId="1046" priority="2589">
      <formula>$I96&lt;&gt;"-"</formula>
    </cfRule>
  </conditionalFormatting>
  <conditionalFormatting sqref="B95">
    <cfRule type="expression" dxfId="1045" priority="2586">
      <formula>AD95&lt;&gt;""</formula>
    </cfRule>
  </conditionalFormatting>
  <conditionalFormatting sqref="Z95">
    <cfRule type="cellIs" dxfId="1044" priority="2584" operator="greaterThan">
      <formula>0</formula>
    </cfRule>
    <cfRule type="cellIs" dxfId="1043" priority="2585" operator="lessThan">
      <formula>0</formula>
    </cfRule>
  </conditionalFormatting>
  <conditionalFormatting sqref="S95">
    <cfRule type="cellIs" dxfId="1042" priority="2583" operator="lessThan">
      <formula>0</formula>
    </cfRule>
  </conditionalFormatting>
  <conditionalFormatting sqref="P95">
    <cfRule type="cellIs" dxfId="1041" priority="2581" operator="equal">
      <formula>AS_DURATION_EFFORT</formula>
    </cfRule>
    <cfRule type="cellIs" dxfId="1040" priority="2582" operator="equal">
      <formula>AS_DEV_EFFORT</formula>
    </cfRule>
  </conditionalFormatting>
  <conditionalFormatting sqref="F95">
    <cfRule type="expression" dxfId="1039" priority="2580">
      <formula>$K95&lt;&gt;""</formula>
    </cfRule>
  </conditionalFormatting>
  <conditionalFormatting sqref="C95">
    <cfRule type="expression" dxfId="1038" priority="2579">
      <formula>$G95&lt;&gt;"-"</formula>
    </cfRule>
  </conditionalFormatting>
  <conditionalFormatting sqref="D95">
    <cfRule type="expression" dxfId="1037" priority="2578">
      <formula>$H95&lt;&gt;"-"</formula>
    </cfRule>
  </conditionalFormatting>
  <conditionalFormatting sqref="E95">
    <cfRule type="expression" dxfId="1036" priority="2577">
      <formula>$I95&lt;&gt;"-"</formula>
    </cfRule>
  </conditionalFormatting>
  <conditionalFormatting sqref="B94">
    <cfRule type="expression" dxfId="1035" priority="2574">
      <formula>AD94&lt;&gt;""</formula>
    </cfRule>
  </conditionalFormatting>
  <conditionalFormatting sqref="Z94">
    <cfRule type="cellIs" dxfId="1034" priority="2572" operator="greaterThan">
      <formula>0</formula>
    </cfRule>
    <cfRule type="cellIs" dxfId="1033" priority="2573" operator="lessThan">
      <formula>0</formula>
    </cfRule>
  </conditionalFormatting>
  <conditionalFormatting sqref="S94">
    <cfRule type="cellIs" dxfId="1032" priority="2571" operator="lessThan">
      <formula>0</formula>
    </cfRule>
  </conditionalFormatting>
  <conditionalFormatting sqref="P94">
    <cfRule type="cellIs" dxfId="1031" priority="2569" operator="equal">
      <formula>AS_DURATION_EFFORT</formula>
    </cfRule>
    <cfRule type="cellIs" dxfId="1030" priority="2570" operator="equal">
      <formula>AS_DEV_EFFORT</formula>
    </cfRule>
  </conditionalFormatting>
  <conditionalFormatting sqref="F94">
    <cfRule type="expression" dxfId="1029" priority="2568">
      <formula>$K94&lt;&gt;""</formula>
    </cfRule>
  </conditionalFormatting>
  <conditionalFormatting sqref="C94">
    <cfRule type="expression" dxfId="1028" priority="2567">
      <formula>$G94&lt;&gt;"-"</formula>
    </cfRule>
  </conditionalFormatting>
  <conditionalFormatting sqref="D94">
    <cfRule type="expression" dxfId="1027" priority="2566">
      <formula>$H94&lt;&gt;"-"</formula>
    </cfRule>
  </conditionalFormatting>
  <conditionalFormatting sqref="E94">
    <cfRule type="expression" dxfId="1026" priority="2565">
      <formula>$I94&lt;&gt;"-"</formula>
    </cfRule>
  </conditionalFormatting>
  <conditionalFormatting sqref="B93">
    <cfRule type="expression" dxfId="1025" priority="2562">
      <formula>AD93&lt;&gt;""</formula>
    </cfRule>
  </conditionalFormatting>
  <conditionalFormatting sqref="Z93">
    <cfRule type="cellIs" dxfId="1024" priority="2560" operator="greaterThan">
      <formula>0</formula>
    </cfRule>
    <cfRule type="cellIs" dxfId="1023" priority="2561" operator="lessThan">
      <formula>0</formula>
    </cfRule>
  </conditionalFormatting>
  <conditionalFormatting sqref="S93">
    <cfRule type="cellIs" dxfId="1022" priority="2559" operator="lessThan">
      <formula>0</formula>
    </cfRule>
  </conditionalFormatting>
  <conditionalFormatting sqref="P93">
    <cfRule type="cellIs" dxfId="1021" priority="2557" operator="equal">
      <formula>AS_DURATION_EFFORT</formula>
    </cfRule>
    <cfRule type="cellIs" dxfId="1020" priority="2558" operator="equal">
      <formula>AS_DEV_EFFORT</formula>
    </cfRule>
  </conditionalFormatting>
  <conditionalFormatting sqref="F93">
    <cfRule type="expression" dxfId="1019" priority="2556">
      <formula>$K93&lt;&gt;""</formula>
    </cfRule>
  </conditionalFormatting>
  <conditionalFormatting sqref="C93">
    <cfRule type="expression" dxfId="1018" priority="2555">
      <formula>$G93&lt;&gt;"-"</formula>
    </cfRule>
  </conditionalFormatting>
  <conditionalFormatting sqref="D93">
    <cfRule type="expression" dxfId="1017" priority="2554">
      <formula>$H93&lt;&gt;"-"</formula>
    </cfRule>
  </conditionalFormatting>
  <conditionalFormatting sqref="E93">
    <cfRule type="expression" dxfId="1016" priority="2553">
      <formula>$I93&lt;&gt;"-"</formula>
    </cfRule>
  </conditionalFormatting>
  <conditionalFormatting sqref="B92">
    <cfRule type="expression" dxfId="1015" priority="2550">
      <formula>AD92&lt;&gt;""</formula>
    </cfRule>
  </conditionalFormatting>
  <conditionalFormatting sqref="Z92">
    <cfRule type="cellIs" dxfId="1014" priority="2548" operator="greaterThan">
      <formula>0</formula>
    </cfRule>
    <cfRule type="cellIs" dxfId="1013" priority="2549" operator="lessThan">
      <formula>0</formula>
    </cfRule>
  </conditionalFormatting>
  <conditionalFormatting sqref="S92">
    <cfRule type="cellIs" dxfId="1012" priority="2547" operator="lessThan">
      <formula>0</formula>
    </cfRule>
  </conditionalFormatting>
  <conditionalFormatting sqref="P92">
    <cfRule type="cellIs" dxfId="1011" priority="2545" operator="equal">
      <formula>AS_DURATION_EFFORT</formula>
    </cfRule>
    <cfRule type="cellIs" dxfId="1010" priority="2546" operator="equal">
      <formula>AS_DEV_EFFORT</formula>
    </cfRule>
  </conditionalFormatting>
  <conditionalFormatting sqref="F92">
    <cfRule type="expression" dxfId="1009" priority="2544">
      <formula>$K92&lt;&gt;""</formula>
    </cfRule>
  </conditionalFormatting>
  <conditionalFormatting sqref="C92">
    <cfRule type="expression" dxfId="1008" priority="2543">
      <formula>$G92&lt;&gt;"-"</formula>
    </cfRule>
  </conditionalFormatting>
  <conditionalFormatting sqref="D92">
    <cfRule type="expression" dxfId="1007" priority="2542">
      <formula>$H92&lt;&gt;"-"</formula>
    </cfRule>
  </conditionalFormatting>
  <conditionalFormatting sqref="E92">
    <cfRule type="expression" dxfId="1006" priority="2541">
      <formula>$I92&lt;&gt;"-"</formula>
    </cfRule>
  </conditionalFormatting>
  <conditionalFormatting sqref="B119">
    <cfRule type="expression" dxfId="1005" priority="2502">
      <formula>AD119&lt;&gt;""</formula>
    </cfRule>
  </conditionalFormatting>
  <conditionalFormatting sqref="Z119">
    <cfRule type="cellIs" dxfId="1004" priority="2500" operator="greaterThan">
      <formula>0</formula>
    </cfRule>
    <cfRule type="cellIs" dxfId="1003" priority="2501" operator="lessThan">
      <formula>0</formula>
    </cfRule>
  </conditionalFormatting>
  <conditionalFormatting sqref="S119">
    <cfRule type="cellIs" dxfId="1002" priority="2499" operator="lessThan">
      <formula>0</formula>
    </cfRule>
  </conditionalFormatting>
  <conditionalFormatting sqref="P119">
    <cfRule type="cellIs" dxfId="1001" priority="2497" operator="equal">
      <formula>AS_DURATION_EFFORT</formula>
    </cfRule>
    <cfRule type="cellIs" dxfId="1000" priority="2498" operator="equal">
      <formula>AS_DEV_EFFORT</formula>
    </cfRule>
  </conditionalFormatting>
  <conditionalFormatting sqref="F119">
    <cfRule type="expression" dxfId="999" priority="2496">
      <formula>$K119&lt;&gt;""</formula>
    </cfRule>
  </conditionalFormatting>
  <conditionalFormatting sqref="C119">
    <cfRule type="expression" dxfId="998" priority="2495">
      <formula>$G119&lt;&gt;"-"</formula>
    </cfRule>
  </conditionalFormatting>
  <conditionalFormatting sqref="D119">
    <cfRule type="expression" dxfId="997" priority="2494">
      <formula>$H119&lt;&gt;"-"</formula>
    </cfRule>
  </conditionalFormatting>
  <conditionalFormatting sqref="E119">
    <cfRule type="expression" dxfId="996" priority="2493">
      <formula>$I119&lt;&gt;"-"</formula>
    </cfRule>
  </conditionalFormatting>
  <conditionalFormatting sqref="B118">
    <cfRule type="expression" dxfId="995" priority="2490">
      <formula>AD118&lt;&gt;""</formula>
    </cfRule>
  </conditionalFormatting>
  <conditionalFormatting sqref="Z118">
    <cfRule type="cellIs" dxfId="994" priority="2488" operator="greaterThan">
      <formula>0</formula>
    </cfRule>
    <cfRule type="cellIs" dxfId="993" priority="2489" operator="lessThan">
      <formula>0</formula>
    </cfRule>
  </conditionalFormatting>
  <conditionalFormatting sqref="S118">
    <cfRule type="cellIs" dxfId="992" priority="2487" operator="lessThan">
      <formula>0</formula>
    </cfRule>
  </conditionalFormatting>
  <conditionalFormatting sqref="P118">
    <cfRule type="cellIs" dxfId="991" priority="2485" operator="equal">
      <formula>AS_DURATION_EFFORT</formula>
    </cfRule>
    <cfRule type="cellIs" dxfId="990" priority="2486" operator="equal">
      <formula>AS_DEV_EFFORT</formula>
    </cfRule>
  </conditionalFormatting>
  <conditionalFormatting sqref="F118">
    <cfRule type="expression" dxfId="989" priority="2484">
      <formula>$K118&lt;&gt;""</formula>
    </cfRule>
  </conditionalFormatting>
  <conditionalFormatting sqref="C118">
    <cfRule type="expression" dxfId="988" priority="2483">
      <formula>$G118&lt;&gt;"-"</formula>
    </cfRule>
  </conditionalFormatting>
  <conditionalFormatting sqref="D118">
    <cfRule type="expression" dxfId="987" priority="2482">
      <formula>$H118&lt;&gt;"-"</formula>
    </cfRule>
  </conditionalFormatting>
  <conditionalFormatting sqref="E118">
    <cfRule type="expression" dxfId="986" priority="2481">
      <formula>$I118&lt;&gt;"-"</formula>
    </cfRule>
  </conditionalFormatting>
  <conditionalFormatting sqref="B117">
    <cfRule type="expression" dxfId="985" priority="2478">
      <formula>AD117&lt;&gt;""</formula>
    </cfRule>
  </conditionalFormatting>
  <conditionalFormatting sqref="Z117">
    <cfRule type="cellIs" dxfId="984" priority="2476" operator="greaterThan">
      <formula>0</formula>
    </cfRule>
    <cfRule type="cellIs" dxfId="983" priority="2477" operator="lessThan">
      <formula>0</formula>
    </cfRule>
  </conditionalFormatting>
  <conditionalFormatting sqref="S117">
    <cfRule type="cellIs" dxfId="982" priority="2475" operator="lessThan">
      <formula>0</formula>
    </cfRule>
  </conditionalFormatting>
  <conditionalFormatting sqref="P117">
    <cfRule type="cellIs" dxfId="981" priority="2473" operator="equal">
      <formula>AS_DURATION_EFFORT</formula>
    </cfRule>
    <cfRule type="cellIs" dxfId="980" priority="2474" operator="equal">
      <formula>AS_DEV_EFFORT</formula>
    </cfRule>
  </conditionalFormatting>
  <conditionalFormatting sqref="F117">
    <cfRule type="expression" dxfId="979" priority="2472">
      <formula>$K117&lt;&gt;""</formula>
    </cfRule>
  </conditionalFormatting>
  <conditionalFormatting sqref="C117">
    <cfRule type="expression" dxfId="978" priority="2471">
      <formula>$G117&lt;&gt;"-"</formula>
    </cfRule>
  </conditionalFormatting>
  <conditionalFormatting sqref="D117">
    <cfRule type="expression" dxfId="977" priority="2470">
      <formula>$H117&lt;&gt;"-"</formula>
    </cfRule>
  </conditionalFormatting>
  <conditionalFormatting sqref="E117">
    <cfRule type="expression" dxfId="976" priority="2469">
      <formula>$I117&lt;&gt;"-"</formula>
    </cfRule>
  </conditionalFormatting>
  <conditionalFormatting sqref="B127">
    <cfRule type="expression" dxfId="975" priority="2466">
      <formula>AD127&lt;&gt;""</formula>
    </cfRule>
  </conditionalFormatting>
  <conditionalFormatting sqref="Z127">
    <cfRule type="cellIs" dxfId="974" priority="2464" operator="greaterThan">
      <formula>0</formula>
    </cfRule>
    <cfRule type="cellIs" dxfId="973" priority="2465" operator="lessThan">
      <formula>0</formula>
    </cfRule>
  </conditionalFormatting>
  <conditionalFormatting sqref="S127">
    <cfRule type="cellIs" dxfId="972" priority="2463" operator="lessThan">
      <formula>0</formula>
    </cfRule>
  </conditionalFormatting>
  <conditionalFormatting sqref="P127">
    <cfRule type="cellIs" dxfId="971" priority="2461" operator="equal">
      <formula>AS_DURATION_EFFORT</formula>
    </cfRule>
    <cfRule type="cellIs" dxfId="970" priority="2462" operator="equal">
      <formula>AS_DEV_EFFORT</formula>
    </cfRule>
  </conditionalFormatting>
  <conditionalFormatting sqref="F127">
    <cfRule type="expression" dxfId="969" priority="2460">
      <formula>$K127&lt;&gt;""</formula>
    </cfRule>
  </conditionalFormatting>
  <conditionalFormatting sqref="C127">
    <cfRule type="expression" dxfId="968" priority="2459">
      <formula>$G127&lt;&gt;"-"</formula>
    </cfRule>
  </conditionalFormatting>
  <conditionalFormatting sqref="D127">
    <cfRule type="expression" dxfId="967" priority="2458">
      <formula>$H127&lt;&gt;"-"</formula>
    </cfRule>
  </conditionalFormatting>
  <conditionalFormatting sqref="E127">
    <cfRule type="expression" dxfId="966" priority="2457">
      <formula>$I127&lt;&gt;"-"</formula>
    </cfRule>
  </conditionalFormatting>
  <conditionalFormatting sqref="B126">
    <cfRule type="expression" dxfId="965" priority="2454">
      <formula>AD126&lt;&gt;""</formula>
    </cfRule>
  </conditionalFormatting>
  <conditionalFormatting sqref="Z126">
    <cfRule type="cellIs" dxfId="964" priority="2452" operator="greaterThan">
      <formula>0</formula>
    </cfRule>
    <cfRule type="cellIs" dxfId="963" priority="2453" operator="lessThan">
      <formula>0</formula>
    </cfRule>
  </conditionalFormatting>
  <conditionalFormatting sqref="S126">
    <cfRule type="cellIs" dxfId="962" priority="2451" operator="lessThan">
      <formula>0</formula>
    </cfRule>
  </conditionalFormatting>
  <conditionalFormatting sqref="P126">
    <cfRule type="cellIs" dxfId="961" priority="2449" operator="equal">
      <formula>AS_DURATION_EFFORT</formula>
    </cfRule>
    <cfRule type="cellIs" dxfId="960" priority="2450" operator="equal">
      <formula>AS_DEV_EFFORT</formula>
    </cfRule>
  </conditionalFormatting>
  <conditionalFormatting sqref="F126">
    <cfRule type="expression" dxfId="959" priority="2448">
      <formula>$K126&lt;&gt;""</formula>
    </cfRule>
  </conditionalFormatting>
  <conditionalFormatting sqref="C126">
    <cfRule type="expression" dxfId="958" priority="2447">
      <formula>$G126&lt;&gt;"-"</formula>
    </cfRule>
  </conditionalFormatting>
  <conditionalFormatting sqref="D126">
    <cfRule type="expression" dxfId="957" priority="2446">
      <formula>$H126&lt;&gt;"-"</formula>
    </cfRule>
  </conditionalFormatting>
  <conditionalFormatting sqref="E126">
    <cfRule type="expression" dxfId="956" priority="2445">
      <formula>$I126&lt;&gt;"-"</formula>
    </cfRule>
  </conditionalFormatting>
  <conditionalFormatting sqref="B125">
    <cfRule type="expression" dxfId="955" priority="2442">
      <formula>AD125&lt;&gt;""</formula>
    </cfRule>
  </conditionalFormatting>
  <conditionalFormatting sqref="Z125">
    <cfRule type="cellIs" dxfId="954" priority="2440" operator="greaterThan">
      <formula>0</formula>
    </cfRule>
    <cfRule type="cellIs" dxfId="953" priority="2441" operator="lessThan">
      <formula>0</formula>
    </cfRule>
  </conditionalFormatting>
  <conditionalFormatting sqref="S125">
    <cfRule type="cellIs" dxfId="952" priority="2439" operator="lessThan">
      <formula>0</formula>
    </cfRule>
  </conditionalFormatting>
  <conditionalFormatting sqref="P125">
    <cfRule type="cellIs" dxfId="951" priority="2437" operator="equal">
      <formula>AS_DURATION_EFFORT</formula>
    </cfRule>
    <cfRule type="cellIs" dxfId="950" priority="2438" operator="equal">
      <formula>AS_DEV_EFFORT</formula>
    </cfRule>
  </conditionalFormatting>
  <conditionalFormatting sqref="F125">
    <cfRule type="expression" dxfId="949" priority="2436">
      <formula>$K125&lt;&gt;""</formula>
    </cfRule>
  </conditionalFormatting>
  <conditionalFormatting sqref="C125">
    <cfRule type="expression" dxfId="948" priority="2435">
      <formula>$G125&lt;&gt;"-"</formula>
    </cfRule>
  </conditionalFormatting>
  <conditionalFormatting sqref="D125">
    <cfRule type="expression" dxfId="947" priority="2434">
      <formula>$H125&lt;&gt;"-"</formula>
    </cfRule>
  </conditionalFormatting>
  <conditionalFormatting sqref="E125">
    <cfRule type="expression" dxfId="946" priority="2433">
      <formula>$I125&lt;&gt;"-"</formula>
    </cfRule>
  </conditionalFormatting>
  <conditionalFormatting sqref="B124">
    <cfRule type="expression" dxfId="945" priority="2430">
      <formula>AD124&lt;&gt;""</formula>
    </cfRule>
  </conditionalFormatting>
  <conditionalFormatting sqref="Z124">
    <cfRule type="cellIs" dxfId="944" priority="2428" operator="greaterThan">
      <formula>0</formula>
    </cfRule>
    <cfRule type="cellIs" dxfId="943" priority="2429" operator="lessThan">
      <formula>0</formula>
    </cfRule>
  </conditionalFormatting>
  <conditionalFormatting sqref="S124">
    <cfRule type="cellIs" dxfId="942" priority="2427" operator="lessThan">
      <formula>0</formula>
    </cfRule>
  </conditionalFormatting>
  <conditionalFormatting sqref="P124">
    <cfRule type="cellIs" dxfId="941" priority="2425" operator="equal">
      <formula>AS_DURATION_EFFORT</formula>
    </cfRule>
    <cfRule type="cellIs" dxfId="940" priority="2426" operator="equal">
      <formula>AS_DEV_EFFORT</formula>
    </cfRule>
  </conditionalFormatting>
  <conditionalFormatting sqref="F124">
    <cfRule type="expression" dxfId="939" priority="2424">
      <formula>$K124&lt;&gt;""</formula>
    </cfRule>
  </conditionalFormatting>
  <conditionalFormatting sqref="C124">
    <cfRule type="expression" dxfId="938" priority="2423">
      <formula>$G124&lt;&gt;"-"</formula>
    </cfRule>
  </conditionalFormatting>
  <conditionalFormatting sqref="D124">
    <cfRule type="expression" dxfId="937" priority="2422">
      <formula>$H124&lt;&gt;"-"</formula>
    </cfRule>
  </conditionalFormatting>
  <conditionalFormatting sqref="E124">
    <cfRule type="expression" dxfId="936" priority="2421">
      <formula>$I124&lt;&gt;"-"</formula>
    </cfRule>
  </conditionalFormatting>
  <conditionalFormatting sqref="B133">
    <cfRule type="expression" dxfId="935" priority="2418">
      <formula>AD133&lt;&gt;""</formula>
    </cfRule>
  </conditionalFormatting>
  <conditionalFormatting sqref="Z133">
    <cfRule type="cellIs" dxfId="934" priority="2416" operator="greaterThan">
      <formula>0</formula>
    </cfRule>
    <cfRule type="cellIs" dxfId="933" priority="2417" operator="lessThan">
      <formula>0</formula>
    </cfRule>
  </conditionalFormatting>
  <conditionalFormatting sqref="S133">
    <cfRule type="cellIs" dxfId="932" priority="2415" operator="lessThan">
      <formula>0</formula>
    </cfRule>
  </conditionalFormatting>
  <conditionalFormatting sqref="P133">
    <cfRule type="cellIs" dxfId="931" priority="2413" operator="equal">
      <formula>AS_DURATION_EFFORT</formula>
    </cfRule>
    <cfRule type="cellIs" dxfId="930" priority="2414" operator="equal">
      <formula>AS_DEV_EFFORT</formula>
    </cfRule>
  </conditionalFormatting>
  <conditionalFormatting sqref="F133">
    <cfRule type="expression" dxfId="929" priority="2412">
      <formula>$K133&lt;&gt;""</formula>
    </cfRule>
  </conditionalFormatting>
  <conditionalFormatting sqref="C133">
    <cfRule type="expression" dxfId="928" priority="2411">
      <formula>$G133&lt;&gt;"-"</formula>
    </cfRule>
  </conditionalFormatting>
  <conditionalFormatting sqref="D133">
    <cfRule type="expression" dxfId="927" priority="2410">
      <formula>$H133&lt;&gt;"-"</formula>
    </cfRule>
  </conditionalFormatting>
  <conditionalFormatting sqref="E133">
    <cfRule type="expression" dxfId="926" priority="2409">
      <formula>$I133&lt;&gt;"-"</formula>
    </cfRule>
  </conditionalFormatting>
  <conditionalFormatting sqref="S135">
    <cfRule type="expression" dxfId="925" priority="2408">
      <formula>#REF!="Yes"</formula>
    </cfRule>
  </conditionalFormatting>
  <conditionalFormatting sqref="B135">
    <cfRule type="expression" dxfId="924" priority="2407">
      <formula>AD135&lt;&gt;""</formula>
    </cfRule>
  </conditionalFormatting>
  <conditionalFormatting sqref="B143">
    <cfRule type="expression" dxfId="923" priority="2403">
      <formula>AD143&lt;&gt;""</formula>
    </cfRule>
  </conditionalFormatting>
  <conditionalFormatting sqref="Z143">
    <cfRule type="cellIs" dxfId="922" priority="2401" operator="greaterThan">
      <formula>0</formula>
    </cfRule>
    <cfRule type="cellIs" dxfId="921" priority="2402" operator="lessThan">
      <formula>0</formula>
    </cfRule>
  </conditionalFormatting>
  <conditionalFormatting sqref="S143">
    <cfRule type="cellIs" dxfId="920" priority="2400" operator="lessThan">
      <formula>0</formula>
    </cfRule>
  </conditionalFormatting>
  <conditionalFormatting sqref="T141:T142">
    <cfRule type="expression" dxfId="919" priority="2404">
      <formula>#REF!="Yes"</formula>
    </cfRule>
  </conditionalFormatting>
  <conditionalFormatting sqref="P143">
    <cfRule type="cellIs" dxfId="918" priority="2398" operator="equal">
      <formula>AS_DURATION_EFFORT</formula>
    </cfRule>
    <cfRule type="cellIs" dxfId="917" priority="2399" operator="equal">
      <formula>AS_DEV_EFFORT</formula>
    </cfRule>
  </conditionalFormatting>
  <conditionalFormatting sqref="B141:B142">
    <cfRule type="expression" dxfId="916" priority="2397">
      <formula>AD141&lt;&gt;""</formula>
    </cfRule>
  </conditionalFormatting>
  <conditionalFormatting sqref="F143">
    <cfRule type="expression" dxfId="915" priority="2396">
      <formula>$K143&lt;&gt;""</formula>
    </cfRule>
  </conditionalFormatting>
  <conditionalFormatting sqref="C143">
    <cfRule type="expression" dxfId="914" priority="2395">
      <formula>$G143&lt;&gt;"-"</formula>
    </cfRule>
  </conditionalFormatting>
  <conditionalFormatting sqref="D143">
    <cfRule type="expression" dxfId="913" priority="2394">
      <formula>$H143&lt;&gt;"-"</formula>
    </cfRule>
  </conditionalFormatting>
  <conditionalFormatting sqref="E143">
    <cfRule type="expression" dxfId="912" priority="2393">
      <formula>$I143&lt;&gt;"-"</formula>
    </cfRule>
  </conditionalFormatting>
  <conditionalFormatting sqref="B139">
    <cfRule type="expression" dxfId="911" priority="2390">
      <formula>AD139&lt;&gt;""</formula>
    </cfRule>
  </conditionalFormatting>
  <conditionalFormatting sqref="Z139">
    <cfRule type="cellIs" dxfId="910" priority="2388" operator="greaterThan">
      <formula>0</formula>
    </cfRule>
    <cfRule type="cellIs" dxfId="909" priority="2389" operator="lessThan">
      <formula>0</formula>
    </cfRule>
  </conditionalFormatting>
  <conditionalFormatting sqref="S139">
    <cfRule type="cellIs" dxfId="908" priority="2387" operator="lessThan">
      <formula>0</formula>
    </cfRule>
  </conditionalFormatting>
  <conditionalFormatting sqref="P139">
    <cfRule type="cellIs" dxfId="907" priority="2385" operator="equal">
      <formula>AS_DURATION_EFFORT</formula>
    </cfRule>
    <cfRule type="cellIs" dxfId="906" priority="2386" operator="equal">
      <formula>AS_DEV_EFFORT</formula>
    </cfRule>
  </conditionalFormatting>
  <conditionalFormatting sqref="F139">
    <cfRule type="expression" dxfId="905" priority="2384">
      <formula>$K139&lt;&gt;""</formula>
    </cfRule>
  </conditionalFormatting>
  <conditionalFormatting sqref="C139">
    <cfRule type="expression" dxfId="904" priority="2383">
      <formula>$G139&lt;&gt;"-"</formula>
    </cfRule>
  </conditionalFormatting>
  <conditionalFormatting sqref="D139">
    <cfRule type="expression" dxfId="903" priority="2382">
      <formula>$H139&lt;&gt;"-"</formula>
    </cfRule>
  </conditionalFormatting>
  <conditionalFormatting sqref="E139">
    <cfRule type="expression" dxfId="902" priority="2381">
      <formula>$I139&lt;&gt;"-"</formula>
    </cfRule>
  </conditionalFormatting>
  <conditionalFormatting sqref="B175">
    <cfRule type="expression" dxfId="901" priority="2373">
      <formula>AD175&lt;&gt;""</formula>
    </cfRule>
  </conditionalFormatting>
  <conditionalFormatting sqref="Z175">
    <cfRule type="cellIs" dxfId="900" priority="2371" operator="greaterThan">
      <formula>0</formula>
    </cfRule>
    <cfRule type="cellIs" dxfId="899" priority="2372" operator="lessThan">
      <formula>0</formula>
    </cfRule>
  </conditionalFormatting>
  <conditionalFormatting sqref="S175">
    <cfRule type="cellIs" dxfId="898" priority="2370" operator="lessThan">
      <formula>0</formula>
    </cfRule>
  </conditionalFormatting>
  <conditionalFormatting sqref="T173:T174">
    <cfRule type="expression" dxfId="897" priority="2374">
      <formula>#REF!="Yes"</formula>
    </cfRule>
  </conditionalFormatting>
  <conditionalFormatting sqref="P175">
    <cfRule type="cellIs" dxfId="896" priority="2368" operator="equal">
      <formula>AS_DURATION_EFFORT</formula>
    </cfRule>
    <cfRule type="cellIs" dxfId="895" priority="2369" operator="equal">
      <formula>AS_DEV_EFFORT</formula>
    </cfRule>
  </conditionalFormatting>
  <conditionalFormatting sqref="B173:B174">
    <cfRule type="expression" dxfId="894" priority="2367">
      <formula>AD173&lt;&gt;""</formula>
    </cfRule>
  </conditionalFormatting>
  <conditionalFormatting sqref="F175">
    <cfRule type="expression" dxfId="893" priority="2366">
      <formula>$K175&lt;&gt;""</formula>
    </cfRule>
  </conditionalFormatting>
  <conditionalFormatting sqref="C175">
    <cfRule type="expression" dxfId="892" priority="2365">
      <formula>$G175&lt;&gt;"-"</formula>
    </cfRule>
  </conditionalFormatting>
  <conditionalFormatting sqref="D175">
    <cfRule type="expression" dxfId="891" priority="2364">
      <formula>$H175&lt;&gt;"-"</formula>
    </cfRule>
  </conditionalFormatting>
  <conditionalFormatting sqref="E175">
    <cfRule type="expression" dxfId="890" priority="2363">
      <formula>$I175&lt;&gt;"-"</formula>
    </cfRule>
  </conditionalFormatting>
  <conditionalFormatting sqref="B176">
    <cfRule type="expression" dxfId="889" priority="2360">
      <formula>AD176&lt;&gt;""</formula>
    </cfRule>
  </conditionalFormatting>
  <conditionalFormatting sqref="Z176">
    <cfRule type="cellIs" dxfId="888" priority="2358" operator="greaterThan">
      <formula>0</formula>
    </cfRule>
    <cfRule type="cellIs" dxfId="887" priority="2359" operator="lessThan">
      <formula>0</formula>
    </cfRule>
  </conditionalFormatting>
  <conditionalFormatting sqref="S176">
    <cfRule type="cellIs" dxfId="886" priority="2357" operator="lessThan">
      <formula>0</formula>
    </cfRule>
  </conditionalFormatting>
  <conditionalFormatting sqref="F176">
    <cfRule type="expression" dxfId="885" priority="2354">
      <formula>$K176&lt;&gt;""</formula>
    </cfRule>
  </conditionalFormatting>
  <conditionalFormatting sqref="C176">
    <cfRule type="expression" dxfId="884" priority="2353">
      <formula>$G176&lt;&gt;"-"</formula>
    </cfRule>
  </conditionalFormatting>
  <conditionalFormatting sqref="D176">
    <cfRule type="expression" dxfId="883" priority="2352">
      <formula>$H176&lt;&gt;"-"</formula>
    </cfRule>
  </conditionalFormatting>
  <conditionalFormatting sqref="E176">
    <cfRule type="expression" dxfId="882" priority="2351">
      <formula>$I176&lt;&gt;"-"</formula>
    </cfRule>
  </conditionalFormatting>
  <conditionalFormatting sqref="B180">
    <cfRule type="expression" dxfId="881" priority="2347">
      <formula>AD180&lt;&gt;""</formula>
    </cfRule>
  </conditionalFormatting>
  <conditionalFormatting sqref="Z180">
    <cfRule type="cellIs" dxfId="880" priority="2345" operator="greaterThan">
      <formula>0</formula>
    </cfRule>
    <cfRule type="cellIs" dxfId="879" priority="2346" operator="lessThan">
      <formula>0</formula>
    </cfRule>
  </conditionalFormatting>
  <conditionalFormatting sqref="S180">
    <cfRule type="cellIs" dxfId="878" priority="2344" operator="lessThan">
      <formula>0</formula>
    </cfRule>
  </conditionalFormatting>
  <conditionalFormatting sqref="T178:T179">
    <cfRule type="expression" dxfId="877" priority="2348">
      <formula>#REF!="Yes"</formula>
    </cfRule>
  </conditionalFormatting>
  <conditionalFormatting sqref="P187">
    <cfRule type="cellIs" dxfId="876" priority="2284" operator="equal">
      <formula>AS_DURATION_EFFORT</formula>
    </cfRule>
    <cfRule type="cellIs" dxfId="875" priority="2285" operator="equal">
      <formula>AS_DEV_EFFORT</formula>
    </cfRule>
  </conditionalFormatting>
  <conditionalFormatting sqref="B178:B179">
    <cfRule type="expression" dxfId="874" priority="2341">
      <formula>AD178&lt;&gt;""</formula>
    </cfRule>
  </conditionalFormatting>
  <conditionalFormatting sqref="F180">
    <cfRule type="expression" dxfId="873" priority="2340">
      <formula>$K180&lt;&gt;""</formula>
    </cfRule>
  </conditionalFormatting>
  <conditionalFormatting sqref="C180">
    <cfRule type="expression" dxfId="872" priority="2339">
      <formula>$G180&lt;&gt;"-"</formula>
    </cfRule>
  </conditionalFormatting>
  <conditionalFormatting sqref="D180">
    <cfRule type="expression" dxfId="871" priority="2338">
      <formula>$H180&lt;&gt;"-"</formula>
    </cfRule>
  </conditionalFormatting>
  <conditionalFormatting sqref="E180">
    <cfRule type="expression" dxfId="870" priority="2337">
      <formula>$I180&lt;&gt;"-"</formula>
    </cfRule>
  </conditionalFormatting>
  <conditionalFormatting sqref="B181">
    <cfRule type="expression" dxfId="869" priority="2334">
      <formula>AD181&lt;&gt;""</formula>
    </cfRule>
  </conditionalFormatting>
  <conditionalFormatting sqref="Z181">
    <cfRule type="cellIs" dxfId="868" priority="2332" operator="greaterThan">
      <formula>0</formula>
    </cfRule>
    <cfRule type="cellIs" dxfId="867" priority="2333" operator="lessThan">
      <formula>0</formula>
    </cfRule>
  </conditionalFormatting>
  <conditionalFormatting sqref="S181">
    <cfRule type="cellIs" dxfId="866" priority="2331" operator="lessThan">
      <formula>0</formula>
    </cfRule>
  </conditionalFormatting>
  <conditionalFormatting sqref="P182">
    <cfRule type="cellIs" dxfId="865" priority="2295" operator="equal">
      <formula>AS_DURATION_EFFORT</formula>
    </cfRule>
    <cfRule type="cellIs" dxfId="864" priority="2296" operator="equal">
      <formula>AS_DEV_EFFORT</formula>
    </cfRule>
  </conditionalFormatting>
  <conditionalFormatting sqref="F181">
    <cfRule type="expression" dxfId="863" priority="2328">
      <formula>$K181&lt;&gt;""</formula>
    </cfRule>
  </conditionalFormatting>
  <conditionalFormatting sqref="C181">
    <cfRule type="expression" dxfId="862" priority="2327">
      <formula>$G181&lt;&gt;"-"</formula>
    </cfRule>
  </conditionalFormatting>
  <conditionalFormatting sqref="D181">
    <cfRule type="expression" dxfId="861" priority="2326">
      <formula>$H181&lt;&gt;"-"</formula>
    </cfRule>
  </conditionalFormatting>
  <conditionalFormatting sqref="E181">
    <cfRule type="expression" dxfId="860" priority="2325">
      <formula>$I181&lt;&gt;"-"</formula>
    </cfRule>
  </conditionalFormatting>
  <conditionalFormatting sqref="B183">
    <cfRule type="expression" dxfId="859" priority="2322">
      <formula>AD183&lt;&gt;""</formula>
    </cfRule>
  </conditionalFormatting>
  <conditionalFormatting sqref="Z183">
    <cfRule type="cellIs" dxfId="858" priority="2320" operator="greaterThan">
      <formula>0</formula>
    </cfRule>
    <cfRule type="cellIs" dxfId="857" priority="2321" operator="lessThan">
      <formula>0</formula>
    </cfRule>
  </conditionalFormatting>
  <conditionalFormatting sqref="S183">
    <cfRule type="cellIs" dxfId="856" priority="2319" operator="lessThan">
      <formula>0</formula>
    </cfRule>
  </conditionalFormatting>
  <conditionalFormatting sqref="P183">
    <cfRule type="cellIs" dxfId="855" priority="2317" operator="equal">
      <formula>AS_DURATION_EFFORT</formula>
    </cfRule>
    <cfRule type="cellIs" dxfId="854" priority="2318" operator="equal">
      <formula>AS_DEV_EFFORT</formula>
    </cfRule>
  </conditionalFormatting>
  <conditionalFormatting sqref="F183">
    <cfRule type="expression" dxfId="853" priority="2316">
      <formula>$K183&lt;&gt;""</formula>
    </cfRule>
  </conditionalFormatting>
  <conditionalFormatting sqref="C183">
    <cfRule type="expression" dxfId="852" priority="2315">
      <formula>$G183&lt;&gt;"-"</formula>
    </cfRule>
  </conditionalFormatting>
  <conditionalFormatting sqref="D183">
    <cfRule type="expression" dxfId="851" priority="2314">
      <formula>$H183&lt;&gt;"-"</formula>
    </cfRule>
  </conditionalFormatting>
  <conditionalFormatting sqref="E183">
    <cfRule type="expression" dxfId="850" priority="2313">
      <formula>$I183&lt;&gt;"-"</formula>
    </cfRule>
  </conditionalFormatting>
  <conditionalFormatting sqref="B182">
    <cfRule type="expression" dxfId="849" priority="2310">
      <formula>AD182&lt;&gt;""</formula>
    </cfRule>
  </conditionalFormatting>
  <conditionalFormatting sqref="Z182">
    <cfRule type="cellIs" dxfId="848" priority="2308" operator="greaterThan">
      <formula>0</formula>
    </cfRule>
    <cfRule type="cellIs" dxfId="847" priority="2309" operator="lessThan">
      <formula>0</formula>
    </cfRule>
  </conditionalFormatting>
  <conditionalFormatting sqref="S182">
    <cfRule type="cellIs" dxfId="846" priority="2307" operator="lessThan">
      <formula>0</formula>
    </cfRule>
  </conditionalFormatting>
  <conditionalFormatting sqref="P180">
    <cfRule type="cellIs" dxfId="845" priority="2297" operator="equal">
      <formula>AS_DURATION_EFFORT</formula>
    </cfRule>
    <cfRule type="cellIs" dxfId="844" priority="2298" operator="equal">
      <formula>AS_DEV_EFFORT</formula>
    </cfRule>
  </conditionalFormatting>
  <conditionalFormatting sqref="F182">
    <cfRule type="expression" dxfId="843" priority="2304">
      <formula>$K182&lt;&gt;""</formula>
    </cfRule>
  </conditionalFormatting>
  <conditionalFormatting sqref="C182">
    <cfRule type="expression" dxfId="842" priority="2303">
      <formula>$G182&lt;&gt;"-"</formula>
    </cfRule>
  </conditionalFormatting>
  <conditionalFormatting sqref="D182">
    <cfRule type="expression" dxfId="841" priority="2302">
      <formula>$H182&lt;&gt;"-"</formula>
    </cfRule>
  </conditionalFormatting>
  <conditionalFormatting sqref="E182">
    <cfRule type="expression" dxfId="840" priority="2301">
      <formula>$I182&lt;&gt;"-"</formula>
    </cfRule>
  </conditionalFormatting>
  <conditionalFormatting sqref="P190">
    <cfRule type="cellIs" dxfId="839" priority="2271" operator="equal">
      <formula>AS_DURATION_EFFORT</formula>
    </cfRule>
    <cfRule type="cellIs" dxfId="838" priority="2272" operator="equal">
      <formula>AS_DEV_EFFORT</formula>
    </cfRule>
  </conditionalFormatting>
  <conditionalFormatting sqref="P181:P182">
    <cfRule type="cellIs" dxfId="837" priority="2293" operator="equal">
      <formula>AS_DURATION_EFFORT</formula>
    </cfRule>
    <cfRule type="cellIs" dxfId="836" priority="2294" operator="equal">
      <formula>AS_DEV_EFFORT</formula>
    </cfRule>
  </conditionalFormatting>
  <conditionalFormatting sqref="B187">
    <cfRule type="expression" dxfId="835" priority="2289">
      <formula>AD187&lt;&gt;""</formula>
    </cfRule>
  </conditionalFormatting>
  <conditionalFormatting sqref="Z187">
    <cfRule type="cellIs" dxfId="834" priority="2287" operator="greaterThan">
      <formula>0</formula>
    </cfRule>
    <cfRule type="cellIs" dxfId="833" priority="2288" operator="lessThan">
      <formula>0</formula>
    </cfRule>
  </conditionalFormatting>
  <conditionalFormatting sqref="S187">
    <cfRule type="cellIs" dxfId="832" priority="2286" operator="lessThan">
      <formula>0</formula>
    </cfRule>
  </conditionalFormatting>
  <conditionalFormatting sqref="T185:T186">
    <cfRule type="expression" dxfId="831" priority="2290">
      <formula>#REF!="Yes"</formula>
    </cfRule>
  </conditionalFormatting>
  <conditionalFormatting sqref="B185:B186">
    <cfRule type="expression" dxfId="830" priority="2283">
      <formula>AD185&lt;&gt;""</formula>
    </cfRule>
  </conditionalFormatting>
  <conditionalFormatting sqref="F187">
    <cfRule type="expression" dxfId="829" priority="2282">
      <formula>$K187&lt;&gt;""</formula>
    </cfRule>
  </conditionalFormatting>
  <conditionalFormatting sqref="C187">
    <cfRule type="expression" dxfId="828" priority="2281">
      <formula>$G187&lt;&gt;"-"</formula>
    </cfRule>
  </conditionalFormatting>
  <conditionalFormatting sqref="D187">
    <cfRule type="expression" dxfId="827" priority="2280">
      <formula>$H187&lt;&gt;"-"</formula>
    </cfRule>
  </conditionalFormatting>
  <conditionalFormatting sqref="E187">
    <cfRule type="expression" dxfId="826" priority="2279">
      <formula>$I187&lt;&gt;"-"</formula>
    </cfRule>
  </conditionalFormatting>
  <conditionalFormatting sqref="B190">
    <cfRule type="expression" dxfId="825" priority="2276">
      <formula>AD190&lt;&gt;""</formula>
    </cfRule>
  </conditionalFormatting>
  <conditionalFormatting sqref="Z190">
    <cfRule type="cellIs" dxfId="824" priority="2274" operator="greaterThan">
      <formula>0</formula>
    </cfRule>
    <cfRule type="cellIs" dxfId="823" priority="2275" operator="lessThan">
      <formula>0</formula>
    </cfRule>
  </conditionalFormatting>
  <conditionalFormatting sqref="S190">
    <cfRule type="cellIs" dxfId="822" priority="2273" operator="lessThan">
      <formula>0</formula>
    </cfRule>
  </conditionalFormatting>
  <conditionalFormatting sqref="P189">
    <cfRule type="cellIs" dxfId="821" priority="2259" operator="equal">
      <formula>AS_DURATION_EFFORT</formula>
    </cfRule>
    <cfRule type="cellIs" dxfId="820" priority="2260" operator="equal">
      <formula>AS_DEV_EFFORT</formula>
    </cfRule>
  </conditionalFormatting>
  <conditionalFormatting sqref="F190">
    <cfRule type="expression" dxfId="819" priority="2270">
      <formula>$K190&lt;&gt;""</formula>
    </cfRule>
  </conditionalFormatting>
  <conditionalFormatting sqref="C190">
    <cfRule type="expression" dxfId="818" priority="2269">
      <formula>$G190&lt;&gt;"-"</formula>
    </cfRule>
  </conditionalFormatting>
  <conditionalFormatting sqref="D190">
    <cfRule type="expression" dxfId="817" priority="2268">
      <formula>$H190&lt;&gt;"-"</formula>
    </cfRule>
  </conditionalFormatting>
  <conditionalFormatting sqref="E190">
    <cfRule type="expression" dxfId="816" priority="2267">
      <formula>$I190&lt;&gt;"-"</formula>
    </cfRule>
  </conditionalFormatting>
  <conditionalFormatting sqref="B189">
    <cfRule type="expression" dxfId="815" priority="2264">
      <formula>AD189&lt;&gt;""</formula>
    </cfRule>
  </conditionalFormatting>
  <conditionalFormatting sqref="Z189">
    <cfRule type="cellIs" dxfId="814" priority="2262" operator="greaterThan">
      <formula>0</formula>
    </cfRule>
    <cfRule type="cellIs" dxfId="813" priority="2263" operator="lessThan">
      <formula>0</formula>
    </cfRule>
  </conditionalFormatting>
  <conditionalFormatting sqref="S189">
    <cfRule type="cellIs" dxfId="812" priority="2261" operator="lessThan">
      <formula>0</formula>
    </cfRule>
  </conditionalFormatting>
  <conditionalFormatting sqref="P188">
    <cfRule type="cellIs" dxfId="811" priority="2247" operator="equal">
      <formula>AS_DURATION_EFFORT</formula>
    </cfRule>
    <cfRule type="cellIs" dxfId="810" priority="2248" operator="equal">
      <formula>AS_DEV_EFFORT</formula>
    </cfRule>
  </conditionalFormatting>
  <conditionalFormatting sqref="F189">
    <cfRule type="expression" dxfId="809" priority="2258">
      <formula>$K189&lt;&gt;""</formula>
    </cfRule>
  </conditionalFormatting>
  <conditionalFormatting sqref="C189">
    <cfRule type="expression" dxfId="808" priority="2257">
      <formula>$G189&lt;&gt;"-"</formula>
    </cfRule>
  </conditionalFormatting>
  <conditionalFormatting sqref="D189">
    <cfRule type="expression" dxfId="807" priority="2256">
      <formula>$H189&lt;&gt;"-"</formula>
    </cfRule>
  </conditionalFormatting>
  <conditionalFormatting sqref="E189">
    <cfRule type="expression" dxfId="806" priority="2255">
      <formula>$I189&lt;&gt;"-"</formula>
    </cfRule>
  </conditionalFormatting>
  <conditionalFormatting sqref="B188">
    <cfRule type="expression" dxfId="805" priority="2252">
      <formula>AD188&lt;&gt;""</formula>
    </cfRule>
  </conditionalFormatting>
  <conditionalFormatting sqref="Z188">
    <cfRule type="cellIs" dxfId="804" priority="2250" operator="greaterThan">
      <formula>0</formula>
    </cfRule>
    <cfRule type="cellIs" dxfId="803" priority="2251" operator="lessThan">
      <formula>0</formula>
    </cfRule>
  </conditionalFormatting>
  <conditionalFormatting sqref="S188">
    <cfRule type="cellIs" dxfId="802" priority="2249" operator="lessThan">
      <formula>0</formula>
    </cfRule>
  </conditionalFormatting>
  <conditionalFormatting sqref="F188">
    <cfRule type="expression" dxfId="801" priority="2246">
      <formula>$K188&lt;&gt;""</formula>
    </cfRule>
  </conditionalFormatting>
  <conditionalFormatting sqref="C188">
    <cfRule type="expression" dxfId="800" priority="2245">
      <formula>$G188&lt;&gt;"-"</formula>
    </cfRule>
  </conditionalFormatting>
  <conditionalFormatting sqref="D188">
    <cfRule type="expression" dxfId="799" priority="2244">
      <formula>$H188&lt;&gt;"-"</formula>
    </cfRule>
  </conditionalFormatting>
  <conditionalFormatting sqref="E188">
    <cfRule type="expression" dxfId="798" priority="2243">
      <formula>$I188&lt;&gt;"-"</formula>
    </cfRule>
  </conditionalFormatting>
  <conditionalFormatting sqref="B207">
    <cfRule type="expression" dxfId="797" priority="2211">
      <formula>AD207&lt;&gt;""</formula>
    </cfRule>
  </conditionalFormatting>
  <conditionalFormatting sqref="Z207">
    <cfRule type="cellIs" dxfId="796" priority="2209" operator="greaterThan">
      <formula>0</formula>
    </cfRule>
    <cfRule type="cellIs" dxfId="795" priority="2210" operator="lessThan">
      <formula>0</formula>
    </cfRule>
  </conditionalFormatting>
  <conditionalFormatting sqref="S207">
    <cfRule type="cellIs" dxfId="794" priority="2208" operator="lessThan">
      <formula>0</formula>
    </cfRule>
  </conditionalFormatting>
  <conditionalFormatting sqref="T205:T206">
    <cfRule type="expression" dxfId="793" priority="2212">
      <formula>#REF!="Yes"</formula>
    </cfRule>
  </conditionalFormatting>
  <conditionalFormatting sqref="P207">
    <cfRule type="cellIs" dxfId="792" priority="2206" operator="equal">
      <formula>AS_DURATION_EFFORT</formula>
    </cfRule>
    <cfRule type="cellIs" dxfId="791" priority="2207" operator="equal">
      <formula>AS_DEV_EFFORT</formula>
    </cfRule>
  </conditionalFormatting>
  <conditionalFormatting sqref="B205:B206">
    <cfRule type="expression" dxfId="790" priority="2205">
      <formula>AD205&lt;&gt;""</formula>
    </cfRule>
  </conditionalFormatting>
  <conditionalFormatting sqref="F207">
    <cfRule type="expression" dxfId="789" priority="2204">
      <formula>$K207&lt;&gt;""</formula>
    </cfRule>
  </conditionalFormatting>
  <conditionalFormatting sqref="C207">
    <cfRule type="expression" dxfId="788" priority="2203">
      <formula>$G207&lt;&gt;"-"</formula>
    </cfRule>
  </conditionalFormatting>
  <conditionalFormatting sqref="D207">
    <cfRule type="expression" dxfId="787" priority="2202">
      <formula>$H207&lt;&gt;"-"</formula>
    </cfRule>
  </conditionalFormatting>
  <conditionalFormatting sqref="E207">
    <cfRule type="expression" dxfId="786" priority="2201">
      <formula>$I207&lt;&gt;"-"</formula>
    </cfRule>
  </conditionalFormatting>
  <conditionalFormatting sqref="B208">
    <cfRule type="expression" dxfId="785" priority="2198">
      <formula>AD208&lt;&gt;""</formula>
    </cfRule>
  </conditionalFormatting>
  <conditionalFormatting sqref="Z208">
    <cfRule type="cellIs" dxfId="784" priority="2196" operator="greaterThan">
      <formula>0</formula>
    </cfRule>
    <cfRule type="cellIs" dxfId="783" priority="2197" operator="lessThan">
      <formula>0</formula>
    </cfRule>
  </conditionalFormatting>
  <conditionalFormatting sqref="S208">
    <cfRule type="cellIs" dxfId="782" priority="2195" operator="lessThan">
      <formula>0</formula>
    </cfRule>
  </conditionalFormatting>
  <conditionalFormatting sqref="P208">
    <cfRule type="cellIs" dxfId="781" priority="2193" operator="equal">
      <formula>AS_DURATION_EFFORT</formula>
    </cfRule>
    <cfRule type="cellIs" dxfId="780" priority="2194" operator="equal">
      <formula>AS_DEV_EFFORT</formula>
    </cfRule>
  </conditionalFormatting>
  <conditionalFormatting sqref="F208">
    <cfRule type="expression" dxfId="779" priority="2192">
      <formula>$K208&lt;&gt;""</formula>
    </cfRule>
  </conditionalFormatting>
  <conditionalFormatting sqref="C208">
    <cfRule type="expression" dxfId="778" priority="2191">
      <formula>$G208&lt;&gt;"-"</formula>
    </cfRule>
  </conditionalFormatting>
  <conditionalFormatting sqref="D208">
    <cfRule type="expression" dxfId="777" priority="2190">
      <formula>$H208&lt;&gt;"-"</formula>
    </cfRule>
  </conditionalFormatting>
  <conditionalFormatting sqref="E208">
    <cfRule type="expression" dxfId="776" priority="2189">
      <formula>$I208&lt;&gt;"-"</formula>
    </cfRule>
  </conditionalFormatting>
  <conditionalFormatting sqref="B212">
    <cfRule type="expression" dxfId="775" priority="2185">
      <formula>AD212&lt;&gt;""</formula>
    </cfRule>
  </conditionalFormatting>
  <conditionalFormatting sqref="Z212">
    <cfRule type="cellIs" dxfId="774" priority="2183" operator="greaterThan">
      <formula>0</formula>
    </cfRule>
    <cfRule type="cellIs" dxfId="773" priority="2184" operator="lessThan">
      <formula>0</formula>
    </cfRule>
  </conditionalFormatting>
  <conditionalFormatting sqref="S212">
    <cfRule type="cellIs" dxfId="772" priority="2182" operator="lessThan">
      <formula>0</formula>
    </cfRule>
  </conditionalFormatting>
  <conditionalFormatting sqref="T210:T211">
    <cfRule type="expression" dxfId="771" priority="2186">
      <formula>#REF!="Yes"</formula>
    </cfRule>
  </conditionalFormatting>
  <conditionalFormatting sqref="P212">
    <cfRule type="cellIs" dxfId="770" priority="2180" operator="equal">
      <formula>AS_DURATION_EFFORT</formula>
    </cfRule>
    <cfRule type="cellIs" dxfId="769" priority="2181" operator="equal">
      <formula>AS_DEV_EFFORT</formula>
    </cfRule>
  </conditionalFormatting>
  <conditionalFormatting sqref="B210:B211">
    <cfRule type="expression" dxfId="768" priority="2179">
      <formula>AD210&lt;&gt;""</formula>
    </cfRule>
  </conditionalFormatting>
  <conditionalFormatting sqref="F212">
    <cfRule type="expression" dxfId="767" priority="2178">
      <formula>$K212&lt;&gt;""</formula>
    </cfRule>
  </conditionalFormatting>
  <conditionalFormatting sqref="C212">
    <cfRule type="expression" dxfId="766" priority="2177">
      <formula>$G212&lt;&gt;"-"</formula>
    </cfRule>
  </conditionalFormatting>
  <conditionalFormatting sqref="D212">
    <cfRule type="expression" dxfId="765" priority="2176">
      <formula>$H212&lt;&gt;"-"</formula>
    </cfRule>
  </conditionalFormatting>
  <conditionalFormatting sqref="E212">
    <cfRule type="expression" dxfId="764" priority="2175">
      <formula>$I212&lt;&gt;"-"</formula>
    </cfRule>
  </conditionalFormatting>
  <conditionalFormatting sqref="B216">
    <cfRule type="expression" dxfId="763" priority="2147">
      <formula>AD216&lt;&gt;""</formula>
    </cfRule>
  </conditionalFormatting>
  <conditionalFormatting sqref="Z216">
    <cfRule type="cellIs" dxfId="762" priority="2145" operator="greaterThan">
      <formula>0</formula>
    </cfRule>
    <cfRule type="cellIs" dxfId="761" priority="2146" operator="lessThan">
      <formula>0</formula>
    </cfRule>
  </conditionalFormatting>
  <conditionalFormatting sqref="S216">
    <cfRule type="cellIs" dxfId="760" priority="2144" operator="lessThan">
      <formula>0</formula>
    </cfRule>
  </conditionalFormatting>
  <conditionalFormatting sqref="T214:T215">
    <cfRule type="expression" dxfId="759" priority="2148">
      <formula>#REF!="Yes"</formula>
    </cfRule>
  </conditionalFormatting>
  <conditionalFormatting sqref="P216">
    <cfRule type="cellIs" dxfId="758" priority="2142" operator="equal">
      <formula>AS_DURATION_EFFORT</formula>
    </cfRule>
    <cfRule type="cellIs" dxfId="757" priority="2143" operator="equal">
      <formula>AS_DEV_EFFORT</formula>
    </cfRule>
  </conditionalFormatting>
  <conditionalFormatting sqref="B214:B215">
    <cfRule type="expression" dxfId="756" priority="2141">
      <formula>AD214&lt;&gt;""</formula>
    </cfRule>
  </conditionalFormatting>
  <conditionalFormatting sqref="F216">
    <cfRule type="expression" dxfId="755" priority="2140">
      <formula>$K216&lt;&gt;""</formula>
    </cfRule>
  </conditionalFormatting>
  <conditionalFormatting sqref="C216">
    <cfRule type="expression" dxfId="754" priority="2139">
      <formula>$G216&lt;&gt;"-"</formula>
    </cfRule>
  </conditionalFormatting>
  <conditionalFormatting sqref="D216">
    <cfRule type="expression" dxfId="753" priority="2138">
      <formula>$H216&lt;&gt;"-"</formula>
    </cfRule>
  </conditionalFormatting>
  <conditionalFormatting sqref="E216">
    <cfRule type="expression" dxfId="752" priority="2137">
      <formula>$I216&lt;&gt;"-"</formula>
    </cfRule>
  </conditionalFormatting>
  <conditionalFormatting sqref="B220">
    <cfRule type="expression" dxfId="751" priority="2121">
      <formula>AD220&lt;&gt;""</formula>
    </cfRule>
  </conditionalFormatting>
  <conditionalFormatting sqref="Z220">
    <cfRule type="cellIs" dxfId="750" priority="2119" operator="greaterThan">
      <formula>0</formula>
    </cfRule>
    <cfRule type="cellIs" dxfId="749" priority="2120" operator="lessThan">
      <formula>0</formula>
    </cfRule>
  </conditionalFormatting>
  <conditionalFormatting sqref="S220">
    <cfRule type="cellIs" dxfId="748" priority="2118" operator="lessThan">
      <formula>0</formula>
    </cfRule>
  </conditionalFormatting>
  <conditionalFormatting sqref="T218:T219">
    <cfRule type="expression" dxfId="747" priority="2122">
      <formula>#REF!="Yes"</formula>
    </cfRule>
  </conditionalFormatting>
  <conditionalFormatting sqref="P220">
    <cfRule type="cellIs" dxfId="746" priority="2116" operator="equal">
      <formula>AS_DURATION_EFFORT</formula>
    </cfRule>
    <cfRule type="cellIs" dxfId="745" priority="2117" operator="equal">
      <formula>AS_DEV_EFFORT</formula>
    </cfRule>
  </conditionalFormatting>
  <conditionalFormatting sqref="B218:B219">
    <cfRule type="expression" dxfId="744" priority="2115">
      <formula>AD218&lt;&gt;""</formula>
    </cfRule>
  </conditionalFormatting>
  <conditionalFormatting sqref="F220">
    <cfRule type="expression" dxfId="743" priority="2114">
      <formula>$K220&lt;&gt;""</formula>
    </cfRule>
  </conditionalFormatting>
  <conditionalFormatting sqref="C220">
    <cfRule type="expression" dxfId="742" priority="2113">
      <formula>$G220&lt;&gt;"-"</formula>
    </cfRule>
  </conditionalFormatting>
  <conditionalFormatting sqref="D220">
    <cfRule type="expression" dxfId="741" priority="2112">
      <formula>$H220&lt;&gt;"-"</formula>
    </cfRule>
  </conditionalFormatting>
  <conditionalFormatting sqref="E220">
    <cfRule type="expression" dxfId="740" priority="2111">
      <formula>$I220&lt;&gt;"-"</formula>
    </cfRule>
  </conditionalFormatting>
  <conditionalFormatting sqref="B223">
    <cfRule type="expression" dxfId="739" priority="2108">
      <formula>AD223&lt;&gt;""</formula>
    </cfRule>
  </conditionalFormatting>
  <conditionalFormatting sqref="Z223">
    <cfRule type="cellIs" dxfId="738" priority="2106" operator="greaterThan">
      <formula>0</formula>
    </cfRule>
    <cfRule type="cellIs" dxfId="737" priority="2107" operator="lessThan">
      <formula>0</formula>
    </cfRule>
  </conditionalFormatting>
  <conditionalFormatting sqref="S223">
    <cfRule type="cellIs" dxfId="736" priority="2105" operator="lessThan">
      <formula>0</formula>
    </cfRule>
  </conditionalFormatting>
  <conditionalFormatting sqref="P223">
    <cfRule type="cellIs" dxfId="735" priority="2103" operator="equal">
      <formula>AS_DURATION_EFFORT</formula>
    </cfRule>
    <cfRule type="cellIs" dxfId="734" priority="2104" operator="equal">
      <formula>AS_DEV_EFFORT</formula>
    </cfRule>
  </conditionalFormatting>
  <conditionalFormatting sqref="F223">
    <cfRule type="expression" dxfId="733" priority="2102">
      <formula>$K223&lt;&gt;""</formula>
    </cfRule>
  </conditionalFormatting>
  <conditionalFormatting sqref="C223">
    <cfRule type="expression" dxfId="732" priority="2101">
      <formula>$G223&lt;&gt;"-"</formula>
    </cfRule>
  </conditionalFormatting>
  <conditionalFormatting sqref="D223">
    <cfRule type="expression" dxfId="731" priority="2100">
      <formula>$H223&lt;&gt;"-"</formula>
    </cfRule>
  </conditionalFormatting>
  <conditionalFormatting sqref="E223">
    <cfRule type="expression" dxfId="730" priority="2099">
      <formula>$I223&lt;&gt;"-"</formula>
    </cfRule>
  </conditionalFormatting>
  <conditionalFormatting sqref="B222">
    <cfRule type="expression" dxfId="729" priority="2096">
      <formula>AD222&lt;&gt;""</formula>
    </cfRule>
  </conditionalFormatting>
  <conditionalFormatting sqref="Z222">
    <cfRule type="cellIs" dxfId="728" priority="2094" operator="greaterThan">
      <formula>0</formula>
    </cfRule>
    <cfRule type="cellIs" dxfId="727" priority="2095" operator="lessThan">
      <formula>0</formula>
    </cfRule>
  </conditionalFormatting>
  <conditionalFormatting sqref="S222">
    <cfRule type="cellIs" dxfId="726" priority="2093" operator="lessThan">
      <formula>0</formula>
    </cfRule>
  </conditionalFormatting>
  <conditionalFormatting sqref="P222">
    <cfRule type="cellIs" dxfId="725" priority="2091" operator="equal">
      <formula>AS_DURATION_EFFORT</formula>
    </cfRule>
    <cfRule type="cellIs" dxfId="724" priority="2092" operator="equal">
      <formula>AS_DEV_EFFORT</formula>
    </cfRule>
  </conditionalFormatting>
  <conditionalFormatting sqref="F222">
    <cfRule type="expression" dxfId="723" priority="2090">
      <formula>$K222&lt;&gt;""</formula>
    </cfRule>
  </conditionalFormatting>
  <conditionalFormatting sqref="C222">
    <cfRule type="expression" dxfId="722" priority="2089">
      <formula>$G222&lt;&gt;"-"</formula>
    </cfRule>
  </conditionalFormatting>
  <conditionalFormatting sqref="D222">
    <cfRule type="expression" dxfId="721" priority="2088">
      <formula>$H222&lt;&gt;"-"</formula>
    </cfRule>
  </conditionalFormatting>
  <conditionalFormatting sqref="E222">
    <cfRule type="expression" dxfId="720" priority="2087">
      <formula>$I222&lt;&gt;"-"</formula>
    </cfRule>
  </conditionalFormatting>
  <conditionalFormatting sqref="B221">
    <cfRule type="expression" dxfId="719" priority="2084">
      <formula>AD221&lt;&gt;""</formula>
    </cfRule>
  </conditionalFormatting>
  <conditionalFormatting sqref="Z221">
    <cfRule type="cellIs" dxfId="718" priority="2082" operator="greaterThan">
      <formula>0</formula>
    </cfRule>
    <cfRule type="cellIs" dxfId="717" priority="2083" operator="lessThan">
      <formula>0</formula>
    </cfRule>
  </conditionalFormatting>
  <conditionalFormatting sqref="S221">
    <cfRule type="cellIs" dxfId="716" priority="2081" operator="lessThan">
      <formula>0</formula>
    </cfRule>
  </conditionalFormatting>
  <conditionalFormatting sqref="P221">
    <cfRule type="cellIs" dxfId="715" priority="2079" operator="equal">
      <formula>AS_DURATION_EFFORT</formula>
    </cfRule>
    <cfRule type="cellIs" dxfId="714" priority="2080" operator="equal">
      <formula>AS_DEV_EFFORT</formula>
    </cfRule>
  </conditionalFormatting>
  <conditionalFormatting sqref="F221">
    <cfRule type="expression" dxfId="713" priority="2078">
      <formula>$K221&lt;&gt;""</formula>
    </cfRule>
  </conditionalFormatting>
  <conditionalFormatting sqref="C221">
    <cfRule type="expression" dxfId="712" priority="2077">
      <formula>$G221&lt;&gt;"-"</formula>
    </cfRule>
  </conditionalFormatting>
  <conditionalFormatting sqref="D221">
    <cfRule type="expression" dxfId="711" priority="2076">
      <formula>$H221&lt;&gt;"-"</formula>
    </cfRule>
  </conditionalFormatting>
  <conditionalFormatting sqref="E221">
    <cfRule type="expression" dxfId="710" priority="2075">
      <formula>$I221&lt;&gt;"-"</formula>
    </cfRule>
  </conditionalFormatting>
  <conditionalFormatting sqref="B230">
    <cfRule type="expression" dxfId="709" priority="2065">
      <formula>AD230&lt;&gt;""</formula>
    </cfRule>
  </conditionalFormatting>
  <conditionalFormatting sqref="Z230">
    <cfRule type="cellIs" dxfId="708" priority="2063" operator="greaterThan">
      <formula>0</formula>
    </cfRule>
    <cfRule type="cellIs" dxfId="707" priority="2064" operator="lessThan">
      <formula>0</formula>
    </cfRule>
  </conditionalFormatting>
  <conditionalFormatting sqref="S230">
    <cfRule type="cellIs" dxfId="706" priority="2062" operator="lessThan">
      <formula>0</formula>
    </cfRule>
  </conditionalFormatting>
  <conditionalFormatting sqref="T228:T229">
    <cfRule type="expression" dxfId="705" priority="2066">
      <formula>#REF!="Yes"</formula>
    </cfRule>
  </conditionalFormatting>
  <conditionalFormatting sqref="P230">
    <cfRule type="cellIs" dxfId="704" priority="2060" operator="equal">
      <formula>AS_DURATION_EFFORT</formula>
    </cfRule>
    <cfRule type="cellIs" dxfId="703" priority="2061" operator="equal">
      <formula>AS_DEV_EFFORT</formula>
    </cfRule>
  </conditionalFormatting>
  <conditionalFormatting sqref="B228:B229">
    <cfRule type="expression" dxfId="702" priority="2059">
      <formula>AD228&lt;&gt;""</formula>
    </cfRule>
  </conditionalFormatting>
  <conditionalFormatting sqref="F230">
    <cfRule type="expression" dxfId="701" priority="2058">
      <formula>$K230&lt;&gt;""</formula>
    </cfRule>
  </conditionalFormatting>
  <conditionalFormatting sqref="C230">
    <cfRule type="expression" dxfId="700" priority="2057">
      <formula>$G230&lt;&gt;"-"</formula>
    </cfRule>
  </conditionalFormatting>
  <conditionalFormatting sqref="D230">
    <cfRule type="expression" dxfId="699" priority="2056">
      <formula>$H230&lt;&gt;"-"</formula>
    </cfRule>
  </conditionalFormatting>
  <conditionalFormatting sqref="E230">
    <cfRule type="expression" dxfId="698" priority="2055">
      <formula>$I230&lt;&gt;"-"</formula>
    </cfRule>
  </conditionalFormatting>
  <conditionalFormatting sqref="B18">
    <cfRule type="expression" dxfId="697" priority="1112">
      <formula>AD18&lt;&gt;""</formula>
    </cfRule>
  </conditionalFormatting>
  <conditionalFormatting sqref="Z18">
    <cfRule type="cellIs" dxfId="696" priority="1110" operator="greaterThan">
      <formula>0</formula>
    </cfRule>
    <cfRule type="cellIs" dxfId="695" priority="1111" operator="lessThan">
      <formula>0</formula>
    </cfRule>
  </conditionalFormatting>
  <conditionalFormatting sqref="S18">
    <cfRule type="cellIs" dxfId="694" priority="1109" operator="lessThan">
      <formula>0</formula>
    </cfRule>
  </conditionalFormatting>
  <conditionalFormatting sqref="L18:M18 O18 R18:AC18">
    <cfRule type="expression" dxfId="693" priority="1113">
      <formula>AND($G18="Yes", $S$6="Exclude")</formula>
    </cfRule>
    <cfRule type="expression" dxfId="692" priority="1114">
      <formula>$J18="Yes"</formula>
    </cfRule>
  </conditionalFormatting>
  <conditionalFormatting sqref="F18">
    <cfRule type="expression" dxfId="691" priority="1106">
      <formula>$K18&lt;&gt;""</formula>
    </cfRule>
  </conditionalFormatting>
  <conditionalFormatting sqref="C18">
    <cfRule type="expression" dxfId="690" priority="1105">
      <formula>$G18&lt;&gt;"-"</formula>
    </cfRule>
  </conditionalFormatting>
  <conditionalFormatting sqref="D18">
    <cfRule type="expression" dxfId="689" priority="1104">
      <formula>$H18&lt;&gt;"-"</formula>
    </cfRule>
  </conditionalFormatting>
  <conditionalFormatting sqref="E18">
    <cfRule type="expression" dxfId="688" priority="1103">
      <formula>$I18&lt;&gt;"-"</formula>
    </cfRule>
  </conditionalFormatting>
  <conditionalFormatting sqref="B28">
    <cfRule type="expression" dxfId="687" priority="1099">
      <formula>AD28&lt;&gt;""</formula>
    </cfRule>
  </conditionalFormatting>
  <conditionalFormatting sqref="Z28">
    <cfRule type="cellIs" dxfId="686" priority="1097" operator="greaterThan">
      <formula>0</formula>
    </cfRule>
    <cfRule type="cellIs" dxfId="685" priority="1098" operator="lessThan">
      <formula>0</formula>
    </cfRule>
  </conditionalFormatting>
  <conditionalFormatting sqref="S28">
    <cfRule type="cellIs" dxfId="684" priority="1096" operator="lessThan">
      <formula>0</formula>
    </cfRule>
  </conditionalFormatting>
  <conditionalFormatting sqref="T26:T27">
    <cfRule type="expression" dxfId="683" priority="1100">
      <formula>#REF!="Yes"</formula>
    </cfRule>
  </conditionalFormatting>
  <conditionalFormatting sqref="P28">
    <cfRule type="cellIs" dxfId="682" priority="1094" operator="equal">
      <formula>AS_DURATION_EFFORT</formula>
    </cfRule>
    <cfRule type="cellIs" dxfId="681" priority="1095" operator="equal">
      <formula>AS_DEV_EFFORT</formula>
    </cfRule>
  </conditionalFormatting>
  <conditionalFormatting sqref="B26:B27">
    <cfRule type="expression" dxfId="680" priority="1093">
      <formula>AD26&lt;&gt;""</formula>
    </cfRule>
  </conditionalFormatting>
  <conditionalFormatting sqref="F28">
    <cfRule type="expression" dxfId="679" priority="1092">
      <formula>$K28&lt;&gt;""</formula>
    </cfRule>
  </conditionalFormatting>
  <conditionalFormatting sqref="C28">
    <cfRule type="expression" dxfId="678" priority="1091">
      <formula>$G28&lt;&gt;"-"</formula>
    </cfRule>
  </conditionalFormatting>
  <conditionalFormatting sqref="D28">
    <cfRule type="expression" dxfId="677" priority="1090">
      <formula>$H28&lt;&gt;"-"</formula>
    </cfRule>
  </conditionalFormatting>
  <conditionalFormatting sqref="E28">
    <cfRule type="expression" dxfId="676" priority="1089">
      <formula>$I28&lt;&gt;"-"</formula>
    </cfRule>
  </conditionalFormatting>
  <conditionalFormatting sqref="B35">
    <cfRule type="expression" dxfId="675" priority="1085">
      <formula>AD35&lt;&gt;""</formula>
    </cfRule>
  </conditionalFormatting>
  <conditionalFormatting sqref="Z35">
    <cfRule type="cellIs" dxfId="674" priority="1083" operator="greaterThan">
      <formula>0</formula>
    </cfRule>
    <cfRule type="cellIs" dxfId="673" priority="1084" operator="lessThan">
      <formula>0</formula>
    </cfRule>
  </conditionalFormatting>
  <conditionalFormatting sqref="S35">
    <cfRule type="cellIs" dxfId="672" priority="1082" operator="lessThan">
      <formula>0</formula>
    </cfRule>
  </conditionalFormatting>
  <conditionalFormatting sqref="T33:T34">
    <cfRule type="expression" dxfId="671" priority="1086">
      <formula>#REF!="Yes"</formula>
    </cfRule>
  </conditionalFormatting>
  <conditionalFormatting sqref="P35">
    <cfRule type="cellIs" dxfId="670" priority="1080" operator="equal">
      <formula>AS_DURATION_EFFORT</formula>
    </cfRule>
    <cfRule type="cellIs" dxfId="669" priority="1081" operator="equal">
      <formula>AS_DEV_EFFORT</formula>
    </cfRule>
  </conditionalFormatting>
  <conditionalFormatting sqref="B33:B34">
    <cfRule type="expression" dxfId="668" priority="1079">
      <formula>AD33&lt;&gt;""</formula>
    </cfRule>
  </conditionalFormatting>
  <conditionalFormatting sqref="F35">
    <cfRule type="expression" dxfId="667" priority="1078">
      <formula>$K35&lt;&gt;""</formula>
    </cfRule>
  </conditionalFormatting>
  <conditionalFormatting sqref="C35">
    <cfRule type="expression" dxfId="666" priority="1077">
      <formula>$G35&lt;&gt;"-"</formula>
    </cfRule>
  </conditionalFormatting>
  <conditionalFormatting sqref="D35">
    <cfRule type="expression" dxfId="665" priority="1076">
      <formula>$H35&lt;&gt;"-"</formula>
    </cfRule>
  </conditionalFormatting>
  <conditionalFormatting sqref="E35">
    <cfRule type="expression" dxfId="664" priority="1075">
      <formula>$I35&lt;&gt;"-"</formula>
    </cfRule>
  </conditionalFormatting>
  <conditionalFormatting sqref="B43">
    <cfRule type="expression" dxfId="663" priority="1071">
      <formula>AD43&lt;&gt;""</formula>
    </cfRule>
  </conditionalFormatting>
  <conditionalFormatting sqref="Z43">
    <cfRule type="cellIs" dxfId="662" priority="1069" operator="greaterThan">
      <formula>0</formula>
    </cfRule>
    <cfRule type="cellIs" dxfId="661" priority="1070" operator="lessThan">
      <formula>0</formula>
    </cfRule>
  </conditionalFormatting>
  <conditionalFormatting sqref="S43">
    <cfRule type="cellIs" dxfId="660" priority="1068" operator="lessThan">
      <formula>0</formula>
    </cfRule>
  </conditionalFormatting>
  <conditionalFormatting sqref="T41:T42">
    <cfRule type="expression" dxfId="659" priority="1072">
      <formula>#REF!="Yes"</formula>
    </cfRule>
  </conditionalFormatting>
  <conditionalFormatting sqref="P43">
    <cfRule type="cellIs" dxfId="658" priority="1066" operator="equal">
      <formula>AS_DURATION_EFFORT</formula>
    </cfRule>
    <cfRule type="cellIs" dxfId="657" priority="1067" operator="equal">
      <formula>AS_DEV_EFFORT</formula>
    </cfRule>
  </conditionalFormatting>
  <conditionalFormatting sqref="B41:B42">
    <cfRule type="expression" dxfId="656" priority="1065">
      <formula>AD41&lt;&gt;""</formula>
    </cfRule>
  </conditionalFormatting>
  <conditionalFormatting sqref="F43">
    <cfRule type="expression" dxfId="655" priority="1064">
      <formula>$K43&lt;&gt;""</formula>
    </cfRule>
  </conditionalFormatting>
  <conditionalFormatting sqref="C43">
    <cfRule type="expression" dxfId="654" priority="1063">
      <formula>$G43&lt;&gt;"-"</formula>
    </cfRule>
  </conditionalFormatting>
  <conditionalFormatting sqref="D43">
    <cfRule type="expression" dxfId="653" priority="1062">
      <formula>$H43&lt;&gt;"-"</formula>
    </cfRule>
  </conditionalFormatting>
  <conditionalFormatting sqref="E43">
    <cfRule type="expression" dxfId="652" priority="1061">
      <formula>$I43&lt;&gt;"-"</formula>
    </cfRule>
  </conditionalFormatting>
  <conditionalFormatting sqref="B49">
    <cfRule type="expression" dxfId="651" priority="1057">
      <formula>AD49&lt;&gt;""</formula>
    </cfRule>
  </conditionalFormatting>
  <conditionalFormatting sqref="Z49">
    <cfRule type="cellIs" dxfId="650" priority="1055" operator="greaterThan">
      <formula>0</formula>
    </cfRule>
    <cfRule type="cellIs" dxfId="649" priority="1056" operator="lessThan">
      <formula>0</formula>
    </cfRule>
  </conditionalFormatting>
  <conditionalFormatting sqref="S49">
    <cfRule type="cellIs" dxfId="648" priority="1054" operator="lessThan">
      <formula>0</formula>
    </cfRule>
  </conditionalFormatting>
  <conditionalFormatting sqref="T47:T48">
    <cfRule type="expression" dxfId="647" priority="1058">
      <formula>#REF!="Yes"</formula>
    </cfRule>
  </conditionalFormatting>
  <conditionalFormatting sqref="P49">
    <cfRule type="cellIs" dxfId="646" priority="1052" operator="equal">
      <formula>AS_DURATION_EFFORT</formula>
    </cfRule>
    <cfRule type="cellIs" dxfId="645" priority="1053" operator="equal">
      <formula>AS_DEV_EFFORT</formula>
    </cfRule>
  </conditionalFormatting>
  <conditionalFormatting sqref="B47:B48">
    <cfRule type="expression" dxfId="644" priority="1051">
      <formula>AD47&lt;&gt;""</formula>
    </cfRule>
  </conditionalFormatting>
  <conditionalFormatting sqref="F49">
    <cfRule type="expression" dxfId="643" priority="1050">
      <formula>$K49&lt;&gt;""</formula>
    </cfRule>
  </conditionalFormatting>
  <conditionalFormatting sqref="C49">
    <cfRule type="expression" dxfId="642" priority="1049">
      <formula>$G49&lt;&gt;"-"</formula>
    </cfRule>
  </conditionalFormatting>
  <conditionalFormatting sqref="D49">
    <cfRule type="expression" dxfId="641" priority="1048">
      <formula>$H49&lt;&gt;"-"</formula>
    </cfRule>
  </conditionalFormatting>
  <conditionalFormatting sqref="E49">
    <cfRule type="expression" dxfId="640" priority="1047">
      <formula>$I49&lt;&gt;"-"</formula>
    </cfRule>
  </conditionalFormatting>
  <conditionalFormatting sqref="B58">
    <cfRule type="expression" dxfId="639" priority="1043">
      <formula>AD58&lt;&gt;""</formula>
    </cfRule>
  </conditionalFormatting>
  <conditionalFormatting sqref="Z58">
    <cfRule type="cellIs" dxfId="638" priority="1041" operator="greaterThan">
      <formula>0</formula>
    </cfRule>
    <cfRule type="cellIs" dxfId="637" priority="1042" operator="lessThan">
      <formula>0</formula>
    </cfRule>
  </conditionalFormatting>
  <conditionalFormatting sqref="S58">
    <cfRule type="cellIs" dxfId="636" priority="1040" operator="lessThan">
      <formula>0</formula>
    </cfRule>
  </conditionalFormatting>
  <conditionalFormatting sqref="T56:T57">
    <cfRule type="expression" dxfId="635" priority="1044">
      <formula>#REF!="Yes"</formula>
    </cfRule>
  </conditionalFormatting>
  <conditionalFormatting sqref="P58">
    <cfRule type="cellIs" dxfId="634" priority="1038" operator="equal">
      <formula>AS_DURATION_EFFORT</formula>
    </cfRule>
    <cfRule type="cellIs" dxfId="633" priority="1039" operator="equal">
      <formula>AS_DEV_EFFORT</formula>
    </cfRule>
  </conditionalFormatting>
  <conditionalFormatting sqref="B56:B57">
    <cfRule type="expression" dxfId="632" priority="1037">
      <formula>AD56&lt;&gt;""</formula>
    </cfRule>
  </conditionalFormatting>
  <conditionalFormatting sqref="F58">
    <cfRule type="expression" dxfId="631" priority="1036">
      <formula>$K58&lt;&gt;""</formula>
    </cfRule>
  </conditionalFormatting>
  <conditionalFormatting sqref="C58">
    <cfRule type="expression" dxfId="630" priority="1035">
      <formula>$G58&lt;&gt;"-"</formula>
    </cfRule>
  </conditionalFormatting>
  <conditionalFormatting sqref="D58">
    <cfRule type="expression" dxfId="629" priority="1034">
      <formula>$H58&lt;&gt;"-"</formula>
    </cfRule>
  </conditionalFormatting>
  <conditionalFormatting sqref="E58">
    <cfRule type="expression" dxfId="628" priority="1033">
      <formula>$I58&lt;&gt;"-"</formula>
    </cfRule>
  </conditionalFormatting>
  <conditionalFormatting sqref="N18">
    <cfRule type="expression" dxfId="627" priority="1031">
      <formula>AND($G18="Yes", $S$6="Exclude")</formula>
    </cfRule>
    <cfRule type="expression" dxfId="626" priority="1032">
      <formula>$J18="Yes"</formula>
    </cfRule>
  </conditionalFormatting>
  <conditionalFormatting sqref="P18">
    <cfRule type="cellIs" dxfId="625" priority="1027" operator="equal">
      <formula>AS_DURATION_EFFORT</formula>
    </cfRule>
    <cfRule type="cellIs" dxfId="624" priority="1028" operator="equal">
      <formula>AS_DEV_EFFORT</formula>
    </cfRule>
  </conditionalFormatting>
  <conditionalFormatting sqref="P18:Q18">
    <cfRule type="expression" dxfId="623" priority="1029">
      <formula>AND($G18="Yes", $S$6="Exclude")</formula>
    </cfRule>
    <cfRule type="expression" dxfId="622" priority="1030">
      <formula>$J18="Yes"</formula>
    </cfRule>
  </conditionalFormatting>
  <conditionalFormatting sqref="B22">
    <cfRule type="expression" dxfId="621" priority="1024">
      <formula>AD22&lt;&gt;""</formula>
    </cfRule>
  </conditionalFormatting>
  <conditionalFormatting sqref="Z22">
    <cfRule type="cellIs" dxfId="620" priority="1022" operator="greaterThan">
      <formula>0</formula>
    </cfRule>
    <cfRule type="cellIs" dxfId="619" priority="1023" operator="lessThan">
      <formula>0</formula>
    </cfRule>
  </conditionalFormatting>
  <conditionalFormatting sqref="S22">
    <cfRule type="cellIs" dxfId="618" priority="1021" operator="lessThan">
      <formula>0</formula>
    </cfRule>
  </conditionalFormatting>
  <conditionalFormatting sqref="P22">
    <cfRule type="cellIs" dxfId="617" priority="1019" operator="equal">
      <formula>AS_DURATION_EFFORT</formula>
    </cfRule>
    <cfRule type="cellIs" dxfId="616" priority="1020" operator="equal">
      <formula>AS_DEV_EFFORT</formula>
    </cfRule>
  </conditionalFormatting>
  <conditionalFormatting sqref="L22:M22 O22:AC22">
    <cfRule type="expression" dxfId="615" priority="1025">
      <formula>AND($G22="Yes", $S$6="Exclude")</formula>
    </cfRule>
    <cfRule type="expression" dxfId="614" priority="1026">
      <formula>$J22="Yes"</formula>
    </cfRule>
  </conditionalFormatting>
  <conditionalFormatting sqref="F22">
    <cfRule type="expression" dxfId="613" priority="1018">
      <formula>$K22&lt;&gt;""</formula>
    </cfRule>
  </conditionalFormatting>
  <conditionalFormatting sqref="C22">
    <cfRule type="expression" dxfId="612" priority="1017">
      <formula>$G22&lt;&gt;"-"</formula>
    </cfRule>
  </conditionalFormatting>
  <conditionalFormatting sqref="D22">
    <cfRule type="expression" dxfId="611" priority="1016">
      <formula>$H22&lt;&gt;"-"</formula>
    </cfRule>
  </conditionalFormatting>
  <conditionalFormatting sqref="E22">
    <cfRule type="expression" dxfId="610" priority="1015">
      <formula>$I22&lt;&gt;"-"</formula>
    </cfRule>
  </conditionalFormatting>
  <conditionalFormatting sqref="N22">
    <cfRule type="expression" dxfId="609" priority="1013">
      <formula>AND($G22="Yes", $S$6="Exclude")</formula>
    </cfRule>
    <cfRule type="expression" dxfId="608" priority="1014">
      <formula>$J22="Yes"</formula>
    </cfRule>
  </conditionalFormatting>
  <conditionalFormatting sqref="B31">
    <cfRule type="expression" dxfId="607" priority="1010">
      <formula>AD31&lt;&gt;""</formula>
    </cfRule>
  </conditionalFormatting>
  <conditionalFormatting sqref="Z31">
    <cfRule type="cellIs" dxfId="606" priority="1008" operator="greaterThan">
      <formula>0</formula>
    </cfRule>
    <cfRule type="cellIs" dxfId="605" priority="1009" operator="lessThan">
      <formula>0</formula>
    </cfRule>
  </conditionalFormatting>
  <conditionalFormatting sqref="S31">
    <cfRule type="cellIs" dxfId="604" priority="1007" operator="lessThan">
      <formula>0</formula>
    </cfRule>
  </conditionalFormatting>
  <conditionalFormatting sqref="P31">
    <cfRule type="cellIs" dxfId="603" priority="1005" operator="equal">
      <formula>AS_DURATION_EFFORT</formula>
    </cfRule>
    <cfRule type="cellIs" dxfId="602" priority="1006" operator="equal">
      <formula>AS_DEV_EFFORT</formula>
    </cfRule>
  </conditionalFormatting>
  <conditionalFormatting sqref="L31:M31 O31:AC31">
    <cfRule type="expression" dxfId="601" priority="1011">
      <formula>AND($G31="Yes", $S$6="Exclude")</formula>
    </cfRule>
    <cfRule type="expression" dxfId="600" priority="1012">
      <formula>$J31="Yes"</formula>
    </cfRule>
  </conditionalFormatting>
  <conditionalFormatting sqref="F31">
    <cfRule type="expression" dxfId="599" priority="1004">
      <formula>$K31&lt;&gt;""</formula>
    </cfRule>
  </conditionalFormatting>
  <conditionalFormatting sqref="C31">
    <cfRule type="expression" dxfId="598" priority="1003">
      <formula>$G31&lt;&gt;"-"</formula>
    </cfRule>
  </conditionalFormatting>
  <conditionalFormatting sqref="D31">
    <cfRule type="expression" dxfId="597" priority="1002">
      <formula>$H31&lt;&gt;"-"</formula>
    </cfRule>
  </conditionalFormatting>
  <conditionalFormatting sqref="E31">
    <cfRule type="expression" dxfId="596" priority="1001">
      <formula>$I31&lt;&gt;"-"</formula>
    </cfRule>
  </conditionalFormatting>
  <conditionalFormatting sqref="B30">
    <cfRule type="expression" dxfId="595" priority="998">
      <formula>AD30&lt;&gt;""</formula>
    </cfRule>
  </conditionalFormatting>
  <conditionalFormatting sqref="Z30">
    <cfRule type="cellIs" dxfId="594" priority="996" operator="greaterThan">
      <formula>0</formula>
    </cfRule>
    <cfRule type="cellIs" dxfId="593" priority="997" operator="lessThan">
      <formula>0</formula>
    </cfRule>
  </conditionalFormatting>
  <conditionalFormatting sqref="S30">
    <cfRule type="cellIs" dxfId="592" priority="995" operator="lessThan">
      <formula>0</formula>
    </cfRule>
  </conditionalFormatting>
  <conditionalFormatting sqref="P30">
    <cfRule type="cellIs" dxfId="591" priority="993" operator="equal">
      <formula>AS_DURATION_EFFORT</formula>
    </cfRule>
    <cfRule type="cellIs" dxfId="590" priority="994" operator="equal">
      <formula>AS_DEV_EFFORT</formula>
    </cfRule>
  </conditionalFormatting>
  <conditionalFormatting sqref="L30:M30 P30:AC30">
    <cfRule type="expression" dxfId="589" priority="999">
      <formula>AND($G30="Yes", $S$6="Exclude")</formula>
    </cfRule>
    <cfRule type="expression" dxfId="588" priority="1000">
      <formula>$J30="Yes"</formula>
    </cfRule>
  </conditionalFormatting>
  <conditionalFormatting sqref="F30">
    <cfRule type="expression" dxfId="587" priority="992">
      <formula>$K30&lt;&gt;""</formula>
    </cfRule>
  </conditionalFormatting>
  <conditionalFormatting sqref="C30">
    <cfRule type="expression" dxfId="586" priority="991">
      <formula>$G30&lt;&gt;"-"</formula>
    </cfRule>
  </conditionalFormatting>
  <conditionalFormatting sqref="D30">
    <cfRule type="expression" dxfId="585" priority="990">
      <formula>$H30&lt;&gt;"-"</formula>
    </cfRule>
  </conditionalFormatting>
  <conditionalFormatting sqref="E30">
    <cfRule type="expression" dxfId="584" priority="989">
      <formula>$I30&lt;&gt;"-"</formula>
    </cfRule>
  </conditionalFormatting>
  <conditionalFormatting sqref="B29">
    <cfRule type="expression" dxfId="583" priority="986">
      <formula>AD29&lt;&gt;""</formula>
    </cfRule>
  </conditionalFormatting>
  <conditionalFormatting sqref="Z29">
    <cfRule type="cellIs" dxfId="582" priority="984" operator="greaterThan">
      <formula>0</formula>
    </cfRule>
    <cfRule type="cellIs" dxfId="581" priority="985" operator="lessThan">
      <formula>0</formula>
    </cfRule>
  </conditionalFormatting>
  <conditionalFormatting sqref="S29">
    <cfRule type="cellIs" dxfId="580" priority="983" operator="lessThan">
      <formula>0</formula>
    </cfRule>
  </conditionalFormatting>
  <conditionalFormatting sqref="P29">
    <cfRule type="cellIs" dxfId="579" priority="981" operator="equal">
      <formula>AS_DURATION_EFFORT</formula>
    </cfRule>
    <cfRule type="cellIs" dxfId="578" priority="982" operator="equal">
      <formula>AS_DEV_EFFORT</formula>
    </cfRule>
  </conditionalFormatting>
  <conditionalFormatting sqref="L29:M29 P29:AC29">
    <cfRule type="expression" dxfId="577" priority="987">
      <formula>AND($G29="Yes", $S$6="Exclude")</formula>
    </cfRule>
    <cfRule type="expression" dxfId="576" priority="988">
      <formula>$J29="Yes"</formula>
    </cfRule>
  </conditionalFormatting>
  <conditionalFormatting sqref="F29">
    <cfRule type="expression" dxfId="575" priority="980">
      <formula>$K29&lt;&gt;""</formula>
    </cfRule>
  </conditionalFormatting>
  <conditionalFormatting sqref="C29">
    <cfRule type="expression" dxfId="574" priority="979">
      <formula>$G29&lt;&gt;"-"</formula>
    </cfRule>
  </conditionalFormatting>
  <conditionalFormatting sqref="D29">
    <cfRule type="expression" dxfId="573" priority="978">
      <formula>$H29&lt;&gt;"-"</formula>
    </cfRule>
  </conditionalFormatting>
  <conditionalFormatting sqref="E29">
    <cfRule type="expression" dxfId="572" priority="977">
      <formula>$I29&lt;&gt;"-"</formula>
    </cfRule>
  </conditionalFormatting>
  <conditionalFormatting sqref="N30:N31">
    <cfRule type="expression" dxfId="571" priority="975">
      <formula>AND($G30="Yes", $S$6="Exclude")</formula>
    </cfRule>
    <cfRule type="expression" dxfId="570" priority="976">
      <formula>$J30="Yes"</formula>
    </cfRule>
  </conditionalFormatting>
  <conditionalFormatting sqref="N28">
    <cfRule type="expression" dxfId="569" priority="973">
      <formula>AND($G28="Yes", $S$6="Exclude")</formula>
    </cfRule>
    <cfRule type="expression" dxfId="568" priority="974">
      <formula>$J28="Yes"</formula>
    </cfRule>
  </conditionalFormatting>
  <conditionalFormatting sqref="N29">
    <cfRule type="expression" dxfId="567" priority="971">
      <formula>AND($G29="Yes", $S$6="Exclude")</formula>
    </cfRule>
    <cfRule type="expression" dxfId="566" priority="972">
      <formula>$J29="Yes"</formula>
    </cfRule>
  </conditionalFormatting>
  <conditionalFormatting sqref="O30">
    <cfRule type="expression" dxfId="565" priority="969">
      <formula>AND($G30="Yes", $S$6="Exclude")</formula>
    </cfRule>
    <cfRule type="expression" dxfId="564" priority="970">
      <formula>$J30="Yes"</formula>
    </cfRule>
  </conditionalFormatting>
  <conditionalFormatting sqref="O29">
    <cfRule type="expression" dxfId="563" priority="967">
      <formula>AND($G29="Yes", $S$6="Exclude")</formula>
    </cfRule>
    <cfRule type="expression" dxfId="562" priority="968">
      <formula>$J29="Yes"</formula>
    </cfRule>
  </conditionalFormatting>
  <conditionalFormatting sqref="B39">
    <cfRule type="expression" dxfId="561" priority="964">
      <formula>AD39&lt;&gt;""</formula>
    </cfRule>
  </conditionalFormatting>
  <conditionalFormatting sqref="Z39">
    <cfRule type="cellIs" dxfId="560" priority="962" operator="greaterThan">
      <formula>0</formula>
    </cfRule>
    <cfRule type="cellIs" dxfId="559" priority="963" operator="lessThan">
      <formula>0</formula>
    </cfRule>
  </conditionalFormatting>
  <conditionalFormatting sqref="S39">
    <cfRule type="cellIs" dxfId="558" priority="961" operator="lessThan">
      <formula>0</formula>
    </cfRule>
  </conditionalFormatting>
  <conditionalFormatting sqref="P39">
    <cfRule type="cellIs" dxfId="557" priority="959" operator="equal">
      <formula>AS_DURATION_EFFORT</formula>
    </cfRule>
    <cfRule type="cellIs" dxfId="556" priority="960" operator="equal">
      <formula>AS_DEV_EFFORT</formula>
    </cfRule>
  </conditionalFormatting>
  <conditionalFormatting sqref="L39:M39 O39:AC39">
    <cfRule type="expression" dxfId="555" priority="965">
      <formula>AND($G39="Yes", $S$6="Exclude")</formula>
    </cfRule>
    <cfRule type="expression" dxfId="554" priority="966">
      <formula>$J39="Yes"</formula>
    </cfRule>
  </conditionalFormatting>
  <conditionalFormatting sqref="F39">
    <cfRule type="expression" dxfId="553" priority="958">
      <formula>$K39&lt;&gt;""</formula>
    </cfRule>
  </conditionalFormatting>
  <conditionalFormatting sqref="C39">
    <cfRule type="expression" dxfId="552" priority="957">
      <formula>$G39&lt;&gt;"-"</formula>
    </cfRule>
  </conditionalFormatting>
  <conditionalFormatting sqref="D39">
    <cfRule type="expression" dxfId="551" priority="956">
      <formula>$H39&lt;&gt;"-"</formula>
    </cfRule>
  </conditionalFormatting>
  <conditionalFormatting sqref="E39">
    <cfRule type="expression" dxfId="550" priority="955">
      <formula>$I39&lt;&gt;"-"</formula>
    </cfRule>
  </conditionalFormatting>
  <conditionalFormatting sqref="B38">
    <cfRule type="expression" dxfId="549" priority="952">
      <formula>AD38&lt;&gt;""</formula>
    </cfRule>
  </conditionalFormatting>
  <conditionalFormatting sqref="Z38">
    <cfRule type="cellIs" dxfId="548" priority="950" operator="greaterThan">
      <formula>0</formula>
    </cfRule>
    <cfRule type="cellIs" dxfId="547" priority="951" operator="lessThan">
      <formula>0</formula>
    </cfRule>
  </conditionalFormatting>
  <conditionalFormatting sqref="S38">
    <cfRule type="cellIs" dxfId="546" priority="949" operator="lessThan">
      <formula>0</formula>
    </cfRule>
  </conditionalFormatting>
  <conditionalFormatting sqref="P38">
    <cfRule type="cellIs" dxfId="545" priority="947" operator="equal">
      <formula>AS_DURATION_EFFORT</formula>
    </cfRule>
    <cfRule type="cellIs" dxfId="544" priority="948" operator="equal">
      <formula>AS_DEV_EFFORT</formula>
    </cfRule>
  </conditionalFormatting>
  <conditionalFormatting sqref="L38:M38 P38:AC38">
    <cfRule type="expression" dxfId="543" priority="953">
      <formula>AND($G38="Yes", $S$6="Exclude")</formula>
    </cfRule>
    <cfRule type="expression" dxfId="542" priority="954">
      <formula>$J38="Yes"</formula>
    </cfRule>
  </conditionalFormatting>
  <conditionalFormatting sqref="F38">
    <cfRule type="expression" dxfId="541" priority="946">
      <formula>$K38&lt;&gt;""</formula>
    </cfRule>
  </conditionalFormatting>
  <conditionalFormatting sqref="C38">
    <cfRule type="expression" dxfId="540" priority="945">
      <formula>$G38&lt;&gt;"-"</formula>
    </cfRule>
  </conditionalFormatting>
  <conditionalFormatting sqref="D38">
    <cfRule type="expression" dxfId="539" priority="944">
      <formula>$H38&lt;&gt;"-"</formula>
    </cfRule>
  </conditionalFormatting>
  <conditionalFormatting sqref="E38">
    <cfRule type="expression" dxfId="538" priority="943">
      <formula>$I38&lt;&gt;"-"</formula>
    </cfRule>
  </conditionalFormatting>
  <conditionalFormatting sqref="B37">
    <cfRule type="expression" dxfId="537" priority="940">
      <formula>AD37&lt;&gt;""</formula>
    </cfRule>
  </conditionalFormatting>
  <conditionalFormatting sqref="Z37">
    <cfRule type="cellIs" dxfId="536" priority="938" operator="greaterThan">
      <formula>0</formula>
    </cfRule>
    <cfRule type="cellIs" dxfId="535" priority="939" operator="lessThan">
      <formula>0</formula>
    </cfRule>
  </conditionalFormatting>
  <conditionalFormatting sqref="S37">
    <cfRule type="cellIs" dxfId="534" priority="937" operator="lessThan">
      <formula>0</formula>
    </cfRule>
  </conditionalFormatting>
  <conditionalFormatting sqref="P37">
    <cfRule type="cellIs" dxfId="533" priority="935" operator="equal">
      <formula>AS_DURATION_EFFORT</formula>
    </cfRule>
    <cfRule type="cellIs" dxfId="532" priority="936" operator="equal">
      <formula>AS_DEV_EFFORT</formula>
    </cfRule>
  </conditionalFormatting>
  <conditionalFormatting sqref="L37:M37 P37:AC37">
    <cfRule type="expression" dxfId="531" priority="941">
      <formula>AND($G37="Yes", $S$6="Exclude")</formula>
    </cfRule>
    <cfRule type="expression" dxfId="530" priority="942">
      <formula>$J37="Yes"</formula>
    </cfRule>
  </conditionalFormatting>
  <conditionalFormatting sqref="F37">
    <cfRule type="expression" dxfId="529" priority="934">
      <formula>$K37&lt;&gt;""</formula>
    </cfRule>
  </conditionalFormatting>
  <conditionalFormatting sqref="C37">
    <cfRule type="expression" dxfId="528" priority="933">
      <formula>$G37&lt;&gt;"-"</formula>
    </cfRule>
  </conditionalFormatting>
  <conditionalFormatting sqref="D37">
    <cfRule type="expression" dxfId="527" priority="932">
      <formula>$H37&lt;&gt;"-"</formula>
    </cfRule>
  </conditionalFormatting>
  <conditionalFormatting sqref="E37">
    <cfRule type="expression" dxfId="526" priority="931">
      <formula>$I37&lt;&gt;"-"</formula>
    </cfRule>
  </conditionalFormatting>
  <conditionalFormatting sqref="B36">
    <cfRule type="expression" dxfId="525" priority="928">
      <formula>AD36&lt;&gt;""</formula>
    </cfRule>
  </conditionalFormatting>
  <conditionalFormatting sqref="Z36">
    <cfRule type="cellIs" dxfId="524" priority="926" operator="greaterThan">
      <formula>0</formula>
    </cfRule>
    <cfRule type="cellIs" dxfId="523" priority="927" operator="lessThan">
      <formula>0</formula>
    </cfRule>
  </conditionalFormatting>
  <conditionalFormatting sqref="S36">
    <cfRule type="cellIs" dxfId="522" priority="925" operator="lessThan">
      <formula>0</formula>
    </cfRule>
  </conditionalFormatting>
  <conditionalFormatting sqref="P36">
    <cfRule type="cellIs" dxfId="521" priority="923" operator="equal">
      <formula>AS_DURATION_EFFORT</formula>
    </cfRule>
    <cfRule type="cellIs" dxfId="520" priority="924" operator="equal">
      <formula>AS_DEV_EFFORT</formula>
    </cfRule>
  </conditionalFormatting>
  <conditionalFormatting sqref="L36:M36 P36:AC36">
    <cfRule type="expression" dxfId="519" priority="929">
      <formula>AND($G36="Yes", $S$6="Exclude")</formula>
    </cfRule>
    <cfRule type="expression" dxfId="518" priority="930">
      <formula>$J36="Yes"</formula>
    </cfRule>
  </conditionalFormatting>
  <conditionalFormatting sqref="F36">
    <cfRule type="expression" dxfId="517" priority="922">
      <formula>$K36&lt;&gt;""</formula>
    </cfRule>
  </conditionalFormatting>
  <conditionalFormatting sqref="C36">
    <cfRule type="expression" dxfId="516" priority="921">
      <formula>$G36&lt;&gt;"-"</formula>
    </cfRule>
  </conditionalFormatting>
  <conditionalFormatting sqref="D36">
    <cfRule type="expression" dxfId="515" priority="920">
      <formula>$H36&lt;&gt;"-"</formula>
    </cfRule>
  </conditionalFormatting>
  <conditionalFormatting sqref="E36">
    <cfRule type="expression" dxfId="514" priority="919">
      <formula>$I36&lt;&gt;"-"</formula>
    </cfRule>
  </conditionalFormatting>
  <conditionalFormatting sqref="N35">
    <cfRule type="expression" dxfId="513" priority="917">
      <formula>AND($G35="Yes", $S$6="Exclude")</formula>
    </cfRule>
    <cfRule type="expression" dxfId="512" priority="918">
      <formula>$J35="Yes"</formula>
    </cfRule>
  </conditionalFormatting>
  <conditionalFormatting sqref="N38">
    <cfRule type="expression" dxfId="511" priority="915">
      <formula>AND($G38="Yes", $S$6="Exclude")</formula>
    </cfRule>
    <cfRule type="expression" dxfId="510" priority="916">
      <formula>$J38="Yes"</formula>
    </cfRule>
  </conditionalFormatting>
  <conditionalFormatting sqref="N37">
    <cfRule type="expression" dxfId="509" priority="913">
      <formula>AND($G37="Yes", $S$6="Exclude")</formula>
    </cfRule>
    <cfRule type="expression" dxfId="508" priority="914">
      <formula>$J37="Yes"</formula>
    </cfRule>
  </conditionalFormatting>
  <conditionalFormatting sqref="N36">
    <cfRule type="expression" dxfId="507" priority="911">
      <formula>AND($G36="Yes", $S$6="Exclude")</formula>
    </cfRule>
    <cfRule type="expression" dxfId="506" priority="912">
      <formula>$J36="Yes"</formula>
    </cfRule>
  </conditionalFormatting>
  <conditionalFormatting sqref="N39">
    <cfRule type="expression" dxfId="505" priority="909">
      <formula>AND($G39="Yes", $S$6="Exclude")</formula>
    </cfRule>
    <cfRule type="expression" dxfId="504" priority="910">
      <formula>$J39="Yes"</formula>
    </cfRule>
  </conditionalFormatting>
  <conditionalFormatting sqref="O36">
    <cfRule type="expression" dxfId="503" priority="907">
      <formula>AND($G36="Yes", $S$6="Exclude")</formula>
    </cfRule>
    <cfRule type="expression" dxfId="502" priority="908">
      <formula>$J36="Yes"</formula>
    </cfRule>
  </conditionalFormatting>
  <conditionalFormatting sqref="O37">
    <cfRule type="expression" dxfId="501" priority="905">
      <formula>AND($G37="Yes", $S$6="Exclude")</formula>
    </cfRule>
    <cfRule type="expression" dxfId="500" priority="906">
      <formula>$J37="Yes"</formula>
    </cfRule>
  </conditionalFormatting>
  <conditionalFormatting sqref="O38">
    <cfRule type="expression" dxfId="499" priority="903">
      <formula>AND($G38="Yes", $S$6="Exclude")</formula>
    </cfRule>
    <cfRule type="expression" dxfId="498" priority="904">
      <formula>$J38="Yes"</formula>
    </cfRule>
  </conditionalFormatting>
  <conditionalFormatting sqref="B45">
    <cfRule type="expression" dxfId="497" priority="900">
      <formula>AD45&lt;&gt;""</formula>
    </cfRule>
  </conditionalFormatting>
  <conditionalFormatting sqref="Z45">
    <cfRule type="cellIs" dxfId="496" priority="898" operator="greaterThan">
      <formula>0</formula>
    </cfRule>
    <cfRule type="cellIs" dxfId="495" priority="899" operator="lessThan">
      <formula>0</formula>
    </cfRule>
  </conditionalFormatting>
  <conditionalFormatting sqref="S45">
    <cfRule type="cellIs" dxfId="494" priority="897" operator="lessThan">
      <formula>0</formula>
    </cfRule>
  </conditionalFormatting>
  <conditionalFormatting sqref="P45">
    <cfRule type="cellIs" dxfId="493" priority="895" operator="equal">
      <formula>AS_DURATION_EFFORT</formula>
    </cfRule>
    <cfRule type="cellIs" dxfId="492" priority="896" operator="equal">
      <formula>AS_DEV_EFFORT</formula>
    </cfRule>
  </conditionalFormatting>
  <conditionalFormatting sqref="L45:M45 P45:AC45">
    <cfRule type="expression" dxfId="491" priority="901">
      <formula>AND($G45="Yes", $S$6="Exclude")</formula>
    </cfRule>
    <cfRule type="expression" dxfId="490" priority="902">
      <formula>$J45="Yes"</formula>
    </cfRule>
  </conditionalFormatting>
  <conditionalFormatting sqref="F45">
    <cfRule type="expression" dxfId="489" priority="894">
      <formula>$K45&lt;&gt;""</formula>
    </cfRule>
  </conditionalFormatting>
  <conditionalFormatting sqref="C45">
    <cfRule type="expression" dxfId="488" priority="893">
      <formula>$G45&lt;&gt;"-"</formula>
    </cfRule>
  </conditionalFormatting>
  <conditionalFormatting sqref="D45">
    <cfRule type="expression" dxfId="487" priority="892">
      <formula>$H45&lt;&gt;"-"</formula>
    </cfRule>
  </conditionalFormatting>
  <conditionalFormatting sqref="E45">
    <cfRule type="expression" dxfId="486" priority="891">
      <formula>$I45&lt;&gt;"-"</formula>
    </cfRule>
  </conditionalFormatting>
  <conditionalFormatting sqref="B44">
    <cfRule type="expression" dxfId="485" priority="888">
      <formula>AD44&lt;&gt;""</formula>
    </cfRule>
  </conditionalFormatting>
  <conditionalFormatting sqref="Z44">
    <cfRule type="cellIs" dxfId="484" priority="886" operator="greaterThan">
      <formula>0</formula>
    </cfRule>
    <cfRule type="cellIs" dxfId="483" priority="887" operator="lessThan">
      <formula>0</formula>
    </cfRule>
  </conditionalFormatting>
  <conditionalFormatting sqref="S44">
    <cfRule type="cellIs" dxfId="482" priority="885" operator="lessThan">
      <formula>0</formula>
    </cfRule>
  </conditionalFormatting>
  <conditionalFormatting sqref="P44">
    <cfRule type="cellIs" dxfId="481" priority="883" operator="equal">
      <formula>AS_DURATION_EFFORT</formula>
    </cfRule>
    <cfRule type="cellIs" dxfId="480" priority="884" operator="equal">
      <formula>AS_DEV_EFFORT</formula>
    </cfRule>
  </conditionalFormatting>
  <conditionalFormatting sqref="L44:M44 P44:AC44">
    <cfRule type="expression" dxfId="479" priority="889">
      <formula>AND($G44="Yes", $S$6="Exclude")</formula>
    </cfRule>
    <cfRule type="expression" dxfId="478" priority="890">
      <formula>$J44="Yes"</formula>
    </cfRule>
  </conditionalFormatting>
  <conditionalFormatting sqref="F44">
    <cfRule type="expression" dxfId="477" priority="882">
      <formula>$K44&lt;&gt;""</formula>
    </cfRule>
  </conditionalFormatting>
  <conditionalFormatting sqref="C44">
    <cfRule type="expression" dxfId="476" priority="881">
      <formula>$G44&lt;&gt;"-"</formula>
    </cfRule>
  </conditionalFormatting>
  <conditionalFormatting sqref="D44">
    <cfRule type="expression" dxfId="475" priority="880">
      <formula>$H44&lt;&gt;"-"</formula>
    </cfRule>
  </conditionalFormatting>
  <conditionalFormatting sqref="E44">
    <cfRule type="expression" dxfId="474" priority="879">
      <formula>$I44&lt;&gt;"-"</formula>
    </cfRule>
  </conditionalFormatting>
  <conditionalFormatting sqref="N43:O45">
    <cfRule type="expression" dxfId="473" priority="877">
      <formula>AND($G43="Yes", $S$6="Exclude")</formula>
    </cfRule>
    <cfRule type="expression" dxfId="472" priority="878">
      <formula>$J43="Yes"</formula>
    </cfRule>
  </conditionalFormatting>
  <conditionalFormatting sqref="P43">
    <cfRule type="cellIs" dxfId="471" priority="875" operator="equal">
      <formula>AS_DURATION_EFFORT</formula>
    </cfRule>
    <cfRule type="cellIs" dxfId="470" priority="876" operator="equal">
      <formula>AS_DEV_EFFORT</formula>
    </cfRule>
  </conditionalFormatting>
  <conditionalFormatting sqref="B54">
    <cfRule type="expression" dxfId="469" priority="872">
      <formula>AD54&lt;&gt;""</formula>
    </cfRule>
  </conditionalFormatting>
  <conditionalFormatting sqref="Z54">
    <cfRule type="cellIs" dxfId="468" priority="870" operator="greaterThan">
      <formula>0</formula>
    </cfRule>
    <cfRule type="cellIs" dxfId="467" priority="871" operator="lessThan">
      <formula>0</formula>
    </cfRule>
  </conditionalFormatting>
  <conditionalFormatting sqref="S54">
    <cfRule type="cellIs" dxfId="466" priority="869" operator="lessThan">
      <formula>0</formula>
    </cfRule>
  </conditionalFormatting>
  <conditionalFormatting sqref="P54">
    <cfRule type="cellIs" dxfId="465" priority="867" operator="equal">
      <formula>AS_DURATION_EFFORT</formula>
    </cfRule>
    <cfRule type="cellIs" dxfId="464" priority="868" operator="equal">
      <formula>AS_DEV_EFFORT</formula>
    </cfRule>
  </conditionalFormatting>
  <conditionalFormatting sqref="L54:M54 O54:AC54">
    <cfRule type="expression" dxfId="463" priority="873">
      <formula>AND($G54="Yes", $S$6="Exclude")</formula>
    </cfRule>
    <cfRule type="expression" dxfId="462" priority="874">
      <formula>$J54="Yes"</formula>
    </cfRule>
  </conditionalFormatting>
  <conditionalFormatting sqref="F54">
    <cfRule type="expression" dxfId="461" priority="866">
      <formula>$K54&lt;&gt;""</formula>
    </cfRule>
  </conditionalFormatting>
  <conditionalFormatting sqref="C54">
    <cfRule type="expression" dxfId="460" priority="865">
      <formula>$G54&lt;&gt;"-"</formula>
    </cfRule>
  </conditionalFormatting>
  <conditionalFormatting sqref="D54">
    <cfRule type="expression" dxfId="459" priority="864">
      <formula>$H54&lt;&gt;"-"</formula>
    </cfRule>
  </conditionalFormatting>
  <conditionalFormatting sqref="E54">
    <cfRule type="expression" dxfId="458" priority="863">
      <formula>$I54&lt;&gt;"-"</formula>
    </cfRule>
  </conditionalFormatting>
  <conditionalFormatting sqref="B53">
    <cfRule type="expression" dxfId="457" priority="860">
      <formula>AD53&lt;&gt;""</formula>
    </cfRule>
  </conditionalFormatting>
  <conditionalFormatting sqref="Z53">
    <cfRule type="cellIs" dxfId="456" priority="858" operator="greaterThan">
      <formula>0</formula>
    </cfRule>
    <cfRule type="cellIs" dxfId="455" priority="859" operator="lessThan">
      <formula>0</formula>
    </cfRule>
  </conditionalFormatting>
  <conditionalFormatting sqref="S53">
    <cfRule type="cellIs" dxfId="454" priority="857" operator="lessThan">
      <formula>0</formula>
    </cfRule>
  </conditionalFormatting>
  <conditionalFormatting sqref="P53">
    <cfRule type="cellIs" dxfId="453" priority="855" operator="equal">
      <formula>AS_DURATION_EFFORT</formula>
    </cfRule>
    <cfRule type="cellIs" dxfId="452" priority="856" operator="equal">
      <formula>AS_DEV_EFFORT</formula>
    </cfRule>
  </conditionalFormatting>
  <conditionalFormatting sqref="L53:M53 O53:AC53">
    <cfRule type="expression" dxfId="451" priority="861">
      <formula>AND($G53="Yes", $S$6="Exclude")</formula>
    </cfRule>
    <cfRule type="expression" dxfId="450" priority="862">
      <formula>$J53="Yes"</formula>
    </cfRule>
  </conditionalFormatting>
  <conditionalFormatting sqref="F53">
    <cfRule type="expression" dxfId="449" priority="854">
      <formula>$K53&lt;&gt;""</formula>
    </cfRule>
  </conditionalFormatting>
  <conditionalFormatting sqref="C53">
    <cfRule type="expression" dxfId="448" priority="853">
      <formula>$G53&lt;&gt;"-"</formula>
    </cfRule>
  </conditionalFormatting>
  <conditionalFormatting sqref="D53">
    <cfRule type="expression" dxfId="447" priority="852">
      <formula>$H53&lt;&gt;"-"</formula>
    </cfRule>
  </conditionalFormatting>
  <conditionalFormatting sqref="E53">
    <cfRule type="expression" dxfId="446" priority="851">
      <formula>$I53&lt;&gt;"-"</formula>
    </cfRule>
  </conditionalFormatting>
  <conditionalFormatting sqref="B52">
    <cfRule type="expression" dxfId="445" priority="848">
      <formula>AD52&lt;&gt;""</formula>
    </cfRule>
  </conditionalFormatting>
  <conditionalFormatting sqref="Z52">
    <cfRule type="cellIs" dxfId="444" priority="846" operator="greaterThan">
      <formula>0</formula>
    </cfRule>
    <cfRule type="cellIs" dxfId="443" priority="847" operator="lessThan">
      <formula>0</formula>
    </cfRule>
  </conditionalFormatting>
  <conditionalFormatting sqref="S52">
    <cfRule type="cellIs" dxfId="442" priority="845" operator="lessThan">
      <formula>0</formula>
    </cfRule>
  </conditionalFormatting>
  <conditionalFormatting sqref="P52">
    <cfRule type="cellIs" dxfId="441" priority="843" operator="equal">
      <formula>AS_DURATION_EFFORT</formula>
    </cfRule>
    <cfRule type="cellIs" dxfId="440" priority="844" operator="equal">
      <formula>AS_DEV_EFFORT</formula>
    </cfRule>
  </conditionalFormatting>
  <conditionalFormatting sqref="L52:M52 O52:AC52">
    <cfRule type="expression" dxfId="439" priority="849">
      <formula>AND($G52="Yes", $S$6="Exclude")</formula>
    </cfRule>
    <cfRule type="expression" dxfId="438" priority="850">
      <formula>$J52="Yes"</formula>
    </cfRule>
  </conditionalFormatting>
  <conditionalFormatting sqref="F52">
    <cfRule type="expression" dxfId="437" priority="842">
      <formula>$K52&lt;&gt;""</formula>
    </cfRule>
  </conditionalFormatting>
  <conditionalFormatting sqref="C52">
    <cfRule type="expression" dxfId="436" priority="841">
      <formula>$G52&lt;&gt;"-"</formula>
    </cfRule>
  </conditionalFormatting>
  <conditionalFormatting sqref="D52">
    <cfRule type="expression" dxfId="435" priority="840">
      <formula>$H52&lt;&gt;"-"</formula>
    </cfRule>
  </conditionalFormatting>
  <conditionalFormatting sqref="E52">
    <cfRule type="expression" dxfId="434" priority="839">
      <formula>$I52&lt;&gt;"-"</formula>
    </cfRule>
  </conditionalFormatting>
  <conditionalFormatting sqref="B51">
    <cfRule type="expression" dxfId="433" priority="836">
      <formula>AD51&lt;&gt;""</formula>
    </cfRule>
  </conditionalFormatting>
  <conditionalFormatting sqref="Z51">
    <cfRule type="cellIs" dxfId="432" priority="834" operator="greaterThan">
      <formula>0</formula>
    </cfRule>
    <cfRule type="cellIs" dxfId="431" priority="835" operator="lessThan">
      <formula>0</formula>
    </cfRule>
  </conditionalFormatting>
  <conditionalFormatting sqref="S51">
    <cfRule type="cellIs" dxfId="430" priority="833" operator="lessThan">
      <formula>0</formula>
    </cfRule>
  </conditionalFormatting>
  <conditionalFormatting sqref="P51">
    <cfRule type="cellIs" dxfId="429" priority="831" operator="equal">
      <formula>AS_DURATION_EFFORT</formula>
    </cfRule>
    <cfRule type="cellIs" dxfId="428" priority="832" operator="equal">
      <formula>AS_DEV_EFFORT</formula>
    </cfRule>
  </conditionalFormatting>
  <conditionalFormatting sqref="L51:M51 O51:AC51">
    <cfRule type="expression" dxfId="427" priority="837">
      <formula>AND($G51="Yes", $S$6="Exclude")</formula>
    </cfRule>
    <cfRule type="expression" dxfId="426" priority="838">
      <formula>$J51="Yes"</formula>
    </cfRule>
  </conditionalFormatting>
  <conditionalFormatting sqref="F51">
    <cfRule type="expression" dxfId="425" priority="830">
      <formula>$K51&lt;&gt;""</formula>
    </cfRule>
  </conditionalFormatting>
  <conditionalFormatting sqref="C51">
    <cfRule type="expression" dxfId="424" priority="829">
      <formula>$G51&lt;&gt;"-"</formula>
    </cfRule>
  </conditionalFormatting>
  <conditionalFormatting sqref="D51">
    <cfRule type="expression" dxfId="423" priority="828">
      <formula>$H51&lt;&gt;"-"</formula>
    </cfRule>
  </conditionalFormatting>
  <conditionalFormatting sqref="E51">
    <cfRule type="expression" dxfId="422" priority="827">
      <formula>$I51&lt;&gt;"-"</formula>
    </cfRule>
  </conditionalFormatting>
  <conditionalFormatting sqref="B50">
    <cfRule type="expression" dxfId="421" priority="824">
      <formula>AD50&lt;&gt;""</formula>
    </cfRule>
  </conditionalFormatting>
  <conditionalFormatting sqref="Z50">
    <cfRule type="cellIs" dxfId="420" priority="822" operator="greaterThan">
      <formula>0</formula>
    </cfRule>
    <cfRule type="cellIs" dxfId="419" priority="823" operator="lessThan">
      <formula>0</formula>
    </cfRule>
  </conditionalFormatting>
  <conditionalFormatting sqref="S50">
    <cfRule type="cellIs" dxfId="418" priority="821" operator="lessThan">
      <formula>0</formula>
    </cfRule>
  </conditionalFormatting>
  <conditionalFormatting sqref="P50">
    <cfRule type="cellIs" dxfId="417" priority="819" operator="equal">
      <formula>AS_DURATION_EFFORT</formula>
    </cfRule>
    <cfRule type="cellIs" dxfId="416" priority="820" operator="equal">
      <formula>AS_DEV_EFFORT</formula>
    </cfRule>
  </conditionalFormatting>
  <conditionalFormatting sqref="L50:M50 O50:AC50">
    <cfRule type="expression" dxfId="415" priority="825">
      <formula>AND($G50="Yes", $S$6="Exclude")</formula>
    </cfRule>
    <cfRule type="expression" dxfId="414" priority="826">
      <formula>$J50="Yes"</formula>
    </cfRule>
  </conditionalFormatting>
  <conditionalFormatting sqref="F50">
    <cfRule type="expression" dxfId="413" priority="818">
      <formula>$K50&lt;&gt;""</formula>
    </cfRule>
  </conditionalFormatting>
  <conditionalFormatting sqref="C50">
    <cfRule type="expression" dxfId="412" priority="817">
      <formula>$G50&lt;&gt;"-"</formula>
    </cfRule>
  </conditionalFormatting>
  <conditionalFormatting sqref="D50">
    <cfRule type="expression" dxfId="411" priority="816">
      <formula>$H50&lt;&gt;"-"</formula>
    </cfRule>
  </conditionalFormatting>
  <conditionalFormatting sqref="E50">
    <cfRule type="expression" dxfId="410" priority="815">
      <formula>$I50&lt;&gt;"-"</formula>
    </cfRule>
  </conditionalFormatting>
  <conditionalFormatting sqref="N49:N54">
    <cfRule type="expression" dxfId="409" priority="813">
      <formula>AND($G49="Yes", $S$6="Exclude")</formula>
    </cfRule>
    <cfRule type="expression" dxfId="408" priority="814">
      <formula>$J49="Yes"</formula>
    </cfRule>
  </conditionalFormatting>
  <conditionalFormatting sqref="B62">
    <cfRule type="expression" dxfId="407" priority="810">
      <formula>AD62&lt;&gt;""</formula>
    </cfRule>
  </conditionalFormatting>
  <conditionalFormatting sqref="Z62">
    <cfRule type="cellIs" dxfId="406" priority="808" operator="greaterThan">
      <formula>0</formula>
    </cfRule>
    <cfRule type="cellIs" dxfId="405" priority="809" operator="lessThan">
      <formula>0</formula>
    </cfRule>
  </conditionalFormatting>
  <conditionalFormatting sqref="S62">
    <cfRule type="cellIs" dxfId="404" priority="807" operator="lessThan">
      <formula>0</formula>
    </cfRule>
  </conditionalFormatting>
  <conditionalFormatting sqref="P62">
    <cfRule type="cellIs" dxfId="403" priority="805" operator="equal">
      <formula>AS_DURATION_EFFORT</formula>
    </cfRule>
    <cfRule type="cellIs" dxfId="402" priority="806" operator="equal">
      <formula>AS_DEV_EFFORT</formula>
    </cfRule>
  </conditionalFormatting>
  <conditionalFormatting sqref="L62:M62 P62:AC62">
    <cfRule type="expression" dxfId="401" priority="811">
      <formula>AND($G62="Yes", $S$6="Exclude")</formula>
    </cfRule>
    <cfRule type="expression" dxfId="400" priority="812">
      <formula>$J62="Yes"</formula>
    </cfRule>
  </conditionalFormatting>
  <conditionalFormatting sqref="F62">
    <cfRule type="expression" dxfId="399" priority="804">
      <formula>$K62&lt;&gt;""</formula>
    </cfRule>
  </conditionalFormatting>
  <conditionalFormatting sqref="C62">
    <cfRule type="expression" dxfId="398" priority="803">
      <formula>$G62&lt;&gt;"-"</formula>
    </cfRule>
  </conditionalFormatting>
  <conditionalFormatting sqref="D62">
    <cfRule type="expression" dxfId="397" priority="802">
      <formula>$H62&lt;&gt;"-"</formula>
    </cfRule>
  </conditionalFormatting>
  <conditionalFormatting sqref="E62">
    <cfRule type="expression" dxfId="396" priority="801">
      <formula>$I62&lt;&gt;"-"</formula>
    </cfRule>
  </conditionalFormatting>
  <conditionalFormatting sqref="B61">
    <cfRule type="expression" dxfId="395" priority="798">
      <formula>AD61&lt;&gt;""</formula>
    </cfRule>
  </conditionalFormatting>
  <conditionalFormatting sqref="Z61">
    <cfRule type="cellIs" dxfId="394" priority="796" operator="greaterThan">
      <formula>0</formula>
    </cfRule>
    <cfRule type="cellIs" dxfId="393" priority="797" operator="lessThan">
      <formula>0</formula>
    </cfRule>
  </conditionalFormatting>
  <conditionalFormatting sqref="S61">
    <cfRule type="cellIs" dxfId="392" priority="795" operator="lessThan">
      <formula>0</formula>
    </cfRule>
  </conditionalFormatting>
  <conditionalFormatting sqref="P61">
    <cfRule type="cellIs" dxfId="391" priority="793" operator="equal">
      <formula>AS_DURATION_EFFORT</formula>
    </cfRule>
    <cfRule type="cellIs" dxfId="390" priority="794" operator="equal">
      <formula>AS_DEV_EFFORT</formula>
    </cfRule>
  </conditionalFormatting>
  <conditionalFormatting sqref="L61:M61 P61:AC61">
    <cfRule type="expression" dxfId="389" priority="799">
      <formula>AND($G61="Yes", $S$6="Exclude")</formula>
    </cfRule>
    <cfRule type="expression" dxfId="388" priority="800">
      <formula>$J61="Yes"</formula>
    </cfRule>
  </conditionalFormatting>
  <conditionalFormatting sqref="F61">
    <cfRule type="expression" dxfId="387" priority="792">
      <formula>$K61&lt;&gt;""</formula>
    </cfRule>
  </conditionalFormatting>
  <conditionalFormatting sqref="C61">
    <cfRule type="expression" dxfId="386" priority="791">
      <formula>$G61&lt;&gt;"-"</formula>
    </cfRule>
  </conditionalFormatting>
  <conditionalFormatting sqref="D61">
    <cfRule type="expression" dxfId="385" priority="790">
      <formula>$H61&lt;&gt;"-"</formula>
    </cfRule>
  </conditionalFormatting>
  <conditionalFormatting sqref="E61">
    <cfRule type="expression" dxfId="384" priority="789">
      <formula>$I61&lt;&gt;"-"</formula>
    </cfRule>
  </conditionalFormatting>
  <conditionalFormatting sqref="B60">
    <cfRule type="expression" dxfId="383" priority="786">
      <formula>AD60&lt;&gt;""</formula>
    </cfRule>
  </conditionalFormatting>
  <conditionalFormatting sqref="Z60">
    <cfRule type="cellIs" dxfId="382" priority="784" operator="greaterThan">
      <formula>0</formula>
    </cfRule>
    <cfRule type="cellIs" dxfId="381" priority="785" operator="lessThan">
      <formula>0</formula>
    </cfRule>
  </conditionalFormatting>
  <conditionalFormatting sqref="S60">
    <cfRule type="cellIs" dxfId="380" priority="783" operator="lessThan">
      <formula>0</formula>
    </cfRule>
  </conditionalFormatting>
  <conditionalFormatting sqref="P60">
    <cfRule type="cellIs" dxfId="379" priority="781" operator="equal">
      <formula>AS_DURATION_EFFORT</formula>
    </cfRule>
    <cfRule type="cellIs" dxfId="378" priority="782" operator="equal">
      <formula>AS_DEV_EFFORT</formula>
    </cfRule>
  </conditionalFormatting>
  <conditionalFormatting sqref="L60:M60 P60:AC60">
    <cfRule type="expression" dxfId="377" priority="787">
      <formula>AND($G60="Yes", $S$6="Exclude")</formula>
    </cfRule>
    <cfRule type="expression" dxfId="376" priority="788">
      <formula>$J60="Yes"</formula>
    </cfRule>
  </conditionalFormatting>
  <conditionalFormatting sqref="F60">
    <cfRule type="expression" dxfId="375" priority="780">
      <formula>$K60&lt;&gt;""</formula>
    </cfRule>
  </conditionalFormatting>
  <conditionalFormatting sqref="C60">
    <cfRule type="expression" dxfId="374" priority="779">
      <formula>$G60&lt;&gt;"-"</formula>
    </cfRule>
  </conditionalFormatting>
  <conditionalFormatting sqref="D60">
    <cfRule type="expression" dxfId="373" priority="778">
      <formula>$H60&lt;&gt;"-"</formula>
    </cfRule>
  </conditionalFormatting>
  <conditionalFormatting sqref="E60">
    <cfRule type="expression" dxfId="372" priority="777">
      <formula>$I60&lt;&gt;"-"</formula>
    </cfRule>
  </conditionalFormatting>
  <conditionalFormatting sqref="B59">
    <cfRule type="expression" dxfId="371" priority="774">
      <formula>AD59&lt;&gt;""</formula>
    </cfRule>
  </conditionalFormatting>
  <conditionalFormatting sqref="Z59">
    <cfRule type="cellIs" dxfId="370" priority="772" operator="greaterThan">
      <formula>0</formula>
    </cfRule>
    <cfRule type="cellIs" dxfId="369" priority="773" operator="lessThan">
      <formula>0</formula>
    </cfRule>
  </conditionalFormatting>
  <conditionalFormatting sqref="S59">
    <cfRule type="cellIs" dxfId="368" priority="771" operator="lessThan">
      <formula>0</formula>
    </cfRule>
  </conditionalFormatting>
  <conditionalFormatting sqref="P59">
    <cfRule type="cellIs" dxfId="367" priority="769" operator="equal">
      <formula>AS_DURATION_EFFORT</formula>
    </cfRule>
    <cfRule type="cellIs" dxfId="366" priority="770" operator="equal">
      <formula>AS_DEV_EFFORT</formula>
    </cfRule>
  </conditionalFormatting>
  <conditionalFormatting sqref="L59:M59 P59:AC59">
    <cfRule type="expression" dxfId="365" priority="775">
      <formula>AND($G59="Yes", $S$6="Exclude")</formula>
    </cfRule>
    <cfRule type="expression" dxfId="364" priority="776">
      <formula>$J59="Yes"</formula>
    </cfRule>
  </conditionalFormatting>
  <conditionalFormatting sqref="F59">
    <cfRule type="expression" dxfId="363" priority="768">
      <formula>$K59&lt;&gt;""</formula>
    </cfRule>
  </conditionalFormatting>
  <conditionalFormatting sqref="C59">
    <cfRule type="expression" dxfId="362" priority="767">
      <formula>$G59&lt;&gt;"-"</formula>
    </cfRule>
  </conditionalFormatting>
  <conditionalFormatting sqref="D59">
    <cfRule type="expression" dxfId="361" priority="766">
      <formula>$H59&lt;&gt;"-"</formula>
    </cfRule>
  </conditionalFormatting>
  <conditionalFormatting sqref="E59">
    <cfRule type="expression" dxfId="360" priority="765">
      <formula>$I59&lt;&gt;"-"</formula>
    </cfRule>
  </conditionalFormatting>
  <conditionalFormatting sqref="N58:N62">
    <cfRule type="expression" dxfId="359" priority="763">
      <formula>AND($G58="Yes", $S$6="Exclude")</formula>
    </cfRule>
    <cfRule type="expression" dxfId="358" priority="764">
      <formula>$J58="Yes"</formula>
    </cfRule>
  </conditionalFormatting>
  <conditionalFormatting sqref="O58:O62">
    <cfRule type="expression" dxfId="357" priority="761">
      <formula>AND($G58="Yes", $S$6="Exclude")</formula>
    </cfRule>
    <cfRule type="expression" dxfId="356" priority="762">
      <formula>$J58="Yes"</formula>
    </cfRule>
  </conditionalFormatting>
  <conditionalFormatting sqref="B148">
    <cfRule type="expression" dxfId="355" priority="757">
      <formula>AD148&lt;&gt;""</formula>
    </cfRule>
  </conditionalFormatting>
  <conditionalFormatting sqref="Z148">
    <cfRule type="cellIs" dxfId="354" priority="755" operator="greaterThan">
      <formula>0</formula>
    </cfRule>
    <cfRule type="cellIs" dxfId="353" priority="756" operator="lessThan">
      <formula>0</formula>
    </cfRule>
  </conditionalFormatting>
  <conditionalFormatting sqref="S148">
    <cfRule type="cellIs" dxfId="352" priority="754" operator="lessThan">
      <formula>0</formula>
    </cfRule>
  </conditionalFormatting>
  <conditionalFormatting sqref="T146:T147">
    <cfRule type="expression" dxfId="351" priority="758">
      <formula>#REF!="Yes"</formula>
    </cfRule>
  </conditionalFormatting>
  <conditionalFormatting sqref="P148">
    <cfRule type="cellIs" dxfId="350" priority="752" operator="equal">
      <formula>AS_DURATION_EFFORT</formula>
    </cfRule>
    <cfRule type="cellIs" dxfId="349" priority="753" operator="equal">
      <formula>AS_DEV_EFFORT</formula>
    </cfRule>
  </conditionalFormatting>
  <conditionalFormatting sqref="B146:B147">
    <cfRule type="expression" dxfId="348" priority="751">
      <formula>AD146&lt;&gt;""</formula>
    </cfRule>
  </conditionalFormatting>
  <conditionalFormatting sqref="F148">
    <cfRule type="expression" dxfId="347" priority="750">
      <formula>$K148&lt;&gt;""</formula>
    </cfRule>
  </conditionalFormatting>
  <conditionalFormatting sqref="C148">
    <cfRule type="expression" dxfId="346" priority="749">
      <formula>$G148&lt;&gt;"-"</formula>
    </cfRule>
  </conditionalFormatting>
  <conditionalFormatting sqref="D148">
    <cfRule type="expression" dxfId="345" priority="748">
      <formula>$H148&lt;&gt;"-"</formula>
    </cfRule>
  </conditionalFormatting>
  <conditionalFormatting sqref="E148">
    <cfRule type="expression" dxfId="344" priority="747">
      <formula>$I148&lt;&gt;"-"</formula>
    </cfRule>
  </conditionalFormatting>
  <conditionalFormatting sqref="S145">
    <cfRule type="expression" dxfId="343" priority="746">
      <formula>#REF!="Yes"</formula>
    </cfRule>
  </conditionalFormatting>
  <conditionalFormatting sqref="B145">
    <cfRule type="expression" dxfId="342" priority="745">
      <formula>AD145&lt;&gt;""</formula>
    </cfRule>
  </conditionalFormatting>
  <conditionalFormatting sqref="B149">
    <cfRule type="expression" dxfId="341" priority="742">
      <formula>AD149&lt;&gt;""</formula>
    </cfRule>
  </conditionalFormatting>
  <conditionalFormatting sqref="Z149">
    <cfRule type="cellIs" dxfId="340" priority="740" operator="greaterThan">
      <formula>0</formula>
    </cfRule>
    <cfRule type="cellIs" dxfId="339" priority="741" operator="lessThan">
      <formula>0</formula>
    </cfRule>
  </conditionalFormatting>
  <conditionalFormatting sqref="S149">
    <cfRule type="cellIs" dxfId="338" priority="739" operator="lessThan">
      <formula>0</formula>
    </cfRule>
  </conditionalFormatting>
  <conditionalFormatting sqref="P149">
    <cfRule type="cellIs" dxfId="337" priority="737" operator="equal">
      <formula>AS_DURATION_EFFORT</formula>
    </cfRule>
    <cfRule type="cellIs" dxfId="336" priority="738" operator="equal">
      <formula>AS_DEV_EFFORT</formula>
    </cfRule>
  </conditionalFormatting>
  <conditionalFormatting sqref="F149">
    <cfRule type="expression" dxfId="335" priority="736">
      <formula>$K149&lt;&gt;""</formula>
    </cfRule>
  </conditionalFormatting>
  <conditionalFormatting sqref="C149">
    <cfRule type="expression" dxfId="334" priority="735">
      <formula>$G149&lt;&gt;"-"</formula>
    </cfRule>
  </conditionalFormatting>
  <conditionalFormatting sqref="D149">
    <cfRule type="expression" dxfId="333" priority="734">
      <formula>$H149&lt;&gt;"-"</formula>
    </cfRule>
  </conditionalFormatting>
  <conditionalFormatting sqref="E149">
    <cfRule type="expression" dxfId="332" priority="733">
      <formula>$I149&lt;&gt;"-"</formula>
    </cfRule>
  </conditionalFormatting>
  <conditionalFormatting sqref="L168:AC171">
    <cfRule type="expression" dxfId="331" priority="333">
      <formula>AND($G168="Yes", $S$6="Exclude")</formula>
    </cfRule>
    <cfRule type="expression" dxfId="330" priority="334">
      <formula>$J168="Yes"</formula>
    </cfRule>
  </conditionalFormatting>
  <conditionalFormatting sqref="B168">
    <cfRule type="expression" dxfId="329" priority="331">
      <formula>AD168&lt;&gt;""</formula>
    </cfRule>
  </conditionalFormatting>
  <conditionalFormatting sqref="Z168">
    <cfRule type="cellIs" dxfId="328" priority="329" operator="greaterThan">
      <formula>0</formula>
    </cfRule>
    <cfRule type="cellIs" dxfId="327" priority="330" operator="lessThan">
      <formula>0</formula>
    </cfRule>
  </conditionalFormatting>
  <conditionalFormatting sqref="S168">
    <cfRule type="cellIs" dxfId="326" priority="328" operator="lessThan">
      <formula>0</formula>
    </cfRule>
  </conditionalFormatting>
  <conditionalFormatting sqref="T166:T167">
    <cfRule type="expression" dxfId="325" priority="332">
      <formula>#REF!="Yes"</formula>
    </cfRule>
  </conditionalFormatting>
  <conditionalFormatting sqref="P168">
    <cfRule type="cellIs" dxfId="324" priority="326" operator="equal">
      <formula>AS_DURATION_EFFORT</formula>
    </cfRule>
    <cfRule type="cellIs" dxfId="323" priority="327" operator="equal">
      <formula>AS_DEV_EFFORT</formula>
    </cfRule>
  </conditionalFormatting>
  <conditionalFormatting sqref="B166:B167">
    <cfRule type="expression" dxfId="322" priority="325">
      <formula>AD166&lt;&gt;""</formula>
    </cfRule>
  </conditionalFormatting>
  <conditionalFormatting sqref="F168">
    <cfRule type="expression" dxfId="321" priority="324">
      <formula>$K168&lt;&gt;""</formula>
    </cfRule>
  </conditionalFormatting>
  <conditionalFormatting sqref="C168">
    <cfRule type="expression" dxfId="320" priority="323">
      <formula>$G168&lt;&gt;"-"</formula>
    </cfRule>
  </conditionalFormatting>
  <conditionalFormatting sqref="D168">
    <cfRule type="expression" dxfId="319" priority="322">
      <formula>$H168&lt;&gt;"-"</formula>
    </cfRule>
  </conditionalFormatting>
  <conditionalFormatting sqref="E168">
    <cfRule type="expression" dxfId="318" priority="321">
      <formula>$I168&lt;&gt;"-"</formula>
    </cfRule>
  </conditionalFormatting>
  <conditionalFormatting sqref="B169">
    <cfRule type="expression" dxfId="317" priority="320">
      <formula>AD169&lt;&gt;""</formula>
    </cfRule>
  </conditionalFormatting>
  <conditionalFormatting sqref="Z169">
    <cfRule type="cellIs" dxfId="316" priority="318" operator="greaterThan">
      <formula>0</formula>
    </cfRule>
    <cfRule type="cellIs" dxfId="315" priority="319" operator="lessThan">
      <formula>0</formula>
    </cfRule>
  </conditionalFormatting>
  <conditionalFormatting sqref="S169">
    <cfRule type="cellIs" dxfId="314" priority="317" operator="lessThan">
      <formula>0</formula>
    </cfRule>
  </conditionalFormatting>
  <conditionalFormatting sqref="P169">
    <cfRule type="cellIs" dxfId="313" priority="315" operator="equal">
      <formula>AS_DURATION_EFFORT</formula>
    </cfRule>
    <cfRule type="cellIs" dxfId="312" priority="316" operator="equal">
      <formula>AS_DEV_EFFORT</formula>
    </cfRule>
  </conditionalFormatting>
  <conditionalFormatting sqref="F169">
    <cfRule type="expression" dxfId="311" priority="314">
      <formula>$K169&lt;&gt;""</formula>
    </cfRule>
  </conditionalFormatting>
  <conditionalFormatting sqref="C169">
    <cfRule type="expression" dxfId="310" priority="313">
      <formula>$G169&lt;&gt;"-"</formula>
    </cfRule>
  </conditionalFormatting>
  <conditionalFormatting sqref="D169">
    <cfRule type="expression" dxfId="309" priority="312">
      <formula>$H169&lt;&gt;"-"</formula>
    </cfRule>
  </conditionalFormatting>
  <conditionalFormatting sqref="E169">
    <cfRule type="expression" dxfId="308" priority="311">
      <formula>$I169&lt;&gt;"-"</formula>
    </cfRule>
  </conditionalFormatting>
  <conditionalFormatting sqref="B170">
    <cfRule type="expression" dxfId="307" priority="310">
      <formula>AD170&lt;&gt;""</formula>
    </cfRule>
  </conditionalFormatting>
  <conditionalFormatting sqref="Z170">
    <cfRule type="cellIs" dxfId="306" priority="308" operator="greaterThan">
      <formula>0</formula>
    </cfRule>
    <cfRule type="cellIs" dxfId="305" priority="309" operator="lessThan">
      <formula>0</formula>
    </cfRule>
  </conditionalFormatting>
  <conditionalFormatting sqref="S170">
    <cfRule type="cellIs" dxfId="304" priority="307" operator="lessThan">
      <formula>0</formula>
    </cfRule>
  </conditionalFormatting>
  <conditionalFormatting sqref="P170">
    <cfRule type="cellIs" dxfId="303" priority="305" operator="equal">
      <formula>AS_DURATION_EFFORT</formula>
    </cfRule>
    <cfRule type="cellIs" dxfId="302" priority="306" operator="equal">
      <formula>AS_DEV_EFFORT</formula>
    </cfRule>
  </conditionalFormatting>
  <conditionalFormatting sqref="F170">
    <cfRule type="expression" dxfId="301" priority="304">
      <formula>$K170&lt;&gt;""</formula>
    </cfRule>
  </conditionalFormatting>
  <conditionalFormatting sqref="C170">
    <cfRule type="expression" dxfId="300" priority="303">
      <formula>$G170&lt;&gt;"-"</formula>
    </cfRule>
  </conditionalFormatting>
  <conditionalFormatting sqref="D170">
    <cfRule type="expression" dxfId="299" priority="302">
      <formula>$H170&lt;&gt;"-"</formula>
    </cfRule>
  </conditionalFormatting>
  <conditionalFormatting sqref="E170">
    <cfRule type="expression" dxfId="298" priority="301">
      <formula>$I170&lt;&gt;"-"</formula>
    </cfRule>
  </conditionalFormatting>
  <conditionalFormatting sqref="B171">
    <cfRule type="expression" dxfId="297" priority="300">
      <formula>AD171&lt;&gt;""</formula>
    </cfRule>
  </conditionalFormatting>
  <conditionalFormatting sqref="Z171">
    <cfRule type="cellIs" dxfId="296" priority="298" operator="greaterThan">
      <formula>0</formula>
    </cfRule>
    <cfRule type="cellIs" dxfId="295" priority="299" operator="lessThan">
      <formula>0</formula>
    </cfRule>
  </conditionalFormatting>
  <conditionalFormatting sqref="S171">
    <cfRule type="cellIs" dxfId="294" priority="297" operator="lessThan">
      <formula>0</formula>
    </cfRule>
  </conditionalFormatting>
  <conditionalFormatting sqref="P171">
    <cfRule type="cellIs" dxfId="293" priority="295" operator="equal">
      <formula>AS_DURATION_EFFORT</formula>
    </cfRule>
    <cfRule type="cellIs" dxfId="292" priority="296" operator="equal">
      <formula>AS_DEV_EFFORT</formula>
    </cfRule>
  </conditionalFormatting>
  <conditionalFormatting sqref="F171">
    <cfRule type="expression" dxfId="291" priority="294">
      <formula>$K171&lt;&gt;""</formula>
    </cfRule>
  </conditionalFormatting>
  <conditionalFormatting sqref="C171">
    <cfRule type="expression" dxfId="290" priority="293">
      <formula>$G171&lt;&gt;"-"</formula>
    </cfRule>
  </conditionalFormatting>
  <conditionalFormatting sqref="D171">
    <cfRule type="expression" dxfId="289" priority="292">
      <formula>$H171&lt;&gt;"-"</formula>
    </cfRule>
  </conditionalFormatting>
  <conditionalFormatting sqref="E171">
    <cfRule type="expression" dxfId="288" priority="291">
      <formula>$I171&lt;&gt;"-"</formula>
    </cfRule>
  </conditionalFormatting>
  <conditionalFormatting sqref="B162">
    <cfRule type="expression" dxfId="287" priority="287">
      <formula>AD162&lt;&gt;""</formula>
    </cfRule>
  </conditionalFormatting>
  <conditionalFormatting sqref="Z162">
    <cfRule type="cellIs" dxfId="286" priority="285" operator="greaterThan">
      <formula>0</formula>
    </cfRule>
    <cfRule type="cellIs" dxfId="285" priority="286" operator="lessThan">
      <formula>0</formula>
    </cfRule>
  </conditionalFormatting>
  <conditionalFormatting sqref="S162">
    <cfRule type="cellIs" dxfId="284" priority="284" operator="lessThan">
      <formula>0</formula>
    </cfRule>
  </conditionalFormatting>
  <conditionalFormatting sqref="T160:T161">
    <cfRule type="expression" dxfId="283" priority="288">
      <formula>#REF!="Yes"</formula>
    </cfRule>
  </conditionalFormatting>
  <conditionalFormatting sqref="P162">
    <cfRule type="cellIs" dxfId="282" priority="282" operator="equal">
      <formula>AS_DURATION_EFFORT</formula>
    </cfRule>
    <cfRule type="cellIs" dxfId="281" priority="283" operator="equal">
      <formula>AS_DEV_EFFORT</formula>
    </cfRule>
  </conditionalFormatting>
  <conditionalFormatting sqref="B160:B161">
    <cfRule type="expression" dxfId="280" priority="281">
      <formula>AD160&lt;&gt;""</formula>
    </cfRule>
  </conditionalFormatting>
  <conditionalFormatting sqref="L162:M162 O162:AC162">
    <cfRule type="expression" dxfId="279" priority="289">
      <formula>AND($G162="Yes", $S$6="Exclude")</formula>
    </cfRule>
    <cfRule type="expression" dxfId="278" priority="290">
      <formula>$J162="Yes"</formula>
    </cfRule>
  </conditionalFormatting>
  <conditionalFormatting sqref="F162">
    <cfRule type="expression" dxfId="277" priority="280">
      <formula>$K162&lt;&gt;""</formula>
    </cfRule>
  </conditionalFormatting>
  <conditionalFormatting sqref="C162">
    <cfRule type="expression" dxfId="276" priority="279">
      <formula>$G162&lt;&gt;"-"</formula>
    </cfRule>
  </conditionalFormatting>
  <conditionalFormatting sqref="D162">
    <cfRule type="expression" dxfId="275" priority="278">
      <formula>$H162&lt;&gt;"-"</formula>
    </cfRule>
  </conditionalFormatting>
  <conditionalFormatting sqref="E162">
    <cfRule type="expression" dxfId="274" priority="277">
      <formula>$I162&lt;&gt;"-"</formula>
    </cfRule>
  </conditionalFormatting>
  <conditionalFormatting sqref="S154">
    <cfRule type="expression" dxfId="273" priority="276">
      <formula>#REF!="Yes"</formula>
    </cfRule>
  </conditionalFormatting>
  <conditionalFormatting sqref="B154">
    <cfRule type="expression" dxfId="272" priority="275">
      <formula>AD154&lt;&gt;""</formula>
    </cfRule>
  </conditionalFormatting>
  <conditionalFormatting sqref="B163">
    <cfRule type="expression" dxfId="271" priority="272">
      <formula>AD163&lt;&gt;""</formula>
    </cfRule>
  </conditionalFormatting>
  <conditionalFormatting sqref="Z163">
    <cfRule type="cellIs" dxfId="270" priority="270" operator="greaterThan">
      <formula>0</formula>
    </cfRule>
    <cfRule type="cellIs" dxfId="269" priority="271" operator="lessThan">
      <formula>0</formula>
    </cfRule>
  </conditionalFormatting>
  <conditionalFormatting sqref="S163">
    <cfRule type="cellIs" dxfId="268" priority="269" operator="lessThan">
      <formula>0</formula>
    </cfRule>
  </conditionalFormatting>
  <conditionalFormatting sqref="L163:M163 O163 R163:AC163">
    <cfRule type="expression" dxfId="267" priority="273">
      <formula>AND($G163="Yes", $S$6="Exclude")</formula>
    </cfRule>
    <cfRule type="expression" dxfId="266" priority="274">
      <formula>$J163="Yes"</formula>
    </cfRule>
  </conditionalFormatting>
  <conditionalFormatting sqref="F163">
    <cfRule type="expression" dxfId="265" priority="266">
      <formula>$K163&lt;&gt;""</formula>
    </cfRule>
  </conditionalFormatting>
  <conditionalFormatting sqref="C163">
    <cfRule type="expression" dxfId="264" priority="265">
      <formula>$G163&lt;&gt;"-"</formula>
    </cfRule>
  </conditionalFormatting>
  <conditionalFormatting sqref="D163">
    <cfRule type="expression" dxfId="263" priority="264">
      <formula>$H163&lt;&gt;"-"</formula>
    </cfRule>
  </conditionalFormatting>
  <conditionalFormatting sqref="E163">
    <cfRule type="expression" dxfId="262" priority="263">
      <formula>$I163&lt;&gt;"-"</formula>
    </cfRule>
  </conditionalFormatting>
  <conditionalFormatting sqref="N162:N163">
    <cfRule type="expression" dxfId="261" priority="261">
      <formula>AND($G162="Yes", $S$6="Exclude")</formula>
    </cfRule>
    <cfRule type="expression" dxfId="260" priority="262">
      <formula>$J162="Yes"</formula>
    </cfRule>
  </conditionalFormatting>
  <conditionalFormatting sqref="P163:Q163">
    <cfRule type="expression" dxfId="259" priority="259">
      <formula>AND($G163="Yes", $S$6="Exclude")</formula>
    </cfRule>
    <cfRule type="expression" dxfId="258" priority="260">
      <formula>$J163="Yes"</formula>
    </cfRule>
  </conditionalFormatting>
  <conditionalFormatting sqref="P163">
    <cfRule type="cellIs" dxfId="257" priority="257" operator="equal">
      <formula>AS_DURATION_EFFORT</formula>
    </cfRule>
    <cfRule type="cellIs" dxfId="256" priority="258" operator="equal">
      <formula>AS_DEV_EFFORT</formula>
    </cfRule>
  </conditionalFormatting>
  <conditionalFormatting sqref="S165">
    <cfRule type="expression" dxfId="255" priority="256">
      <formula>#REF!="Yes"</formula>
    </cfRule>
  </conditionalFormatting>
  <conditionalFormatting sqref="B165">
    <cfRule type="expression" dxfId="254" priority="255">
      <formula>AD165&lt;&gt;""</formula>
    </cfRule>
  </conditionalFormatting>
  <conditionalFormatting sqref="O176:Q176">
    <cfRule type="expression" dxfId="253" priority="253">
      <formula>AND($G176="Yes", $S$6="Exclude")</formula>
    </cfRule>
    <cfRule type="expression" dxfId="252" priority="254">
      <formula>$J176="Yes"</formula>
    </cfRule>
  </conditionalFormatting>
  <conditionalFormatting sqref="P176">
    <cfRule type="cellIs" dxfId="251" priority="251" operator="equal">
      <formula>AS_DURATION_EFFORT</formula>
    </cfRule>
    <cfRule type="cellIs" dxfId="250" priority="252" operator="equal">
      <formula>AS_DEV_EFFORT</formula>
    </cfRule>
  </conditionalFormatting>
  <conditionalFormatting sqref="AB181">
    <cfRule type="expression" dxfId="249" priority="249">
      <formula>AND($G181="Yes", $S$6="Exclude")</formula>
    </cfRule>
    <cfRule type="expression" dxfId="248" priority="250">
      <formula>$J181="Yes"</formula>
    </cfRule>
  </conditionalFormatting>
  <conditionalFormatting sqref="B191">
    <cfRule type="expression" dxfId="247" priority="246">
      <formula>AD191&lt;&gt;""</formula>
    </cfRule>
  </conditionalFormatting>
  <conditionalFormatting sqref="Z191">
    <cfRule type="cellIs" dxfId="246" priority="244" operator="greaterThan">
      <formula>0</formula>
    </cfRule>
    <cfRule type="cellIs" dxfId="245" priority="245" operator="lessThan">
      <formula>0</formula>
    </cfRule>
  </conditionalFormatting>
  <conditionalFormatting sqref="S191">
    <cfRule type="cellIs" dxfId="244" priority="243" operator="lessThan">
      <formula>0</formula>
    </cfRule>
  </conditionalFormatting>
  <conditionalFormatting sqref="P191">
    <cfRule type="cellIs" dxfId="243" priority="241" operator="equal">
      <formula>AS_DURATION_EFFORT</formula>
    </cfRule>
    <cfRule type="cellIs" dxfId="242" priority="242" operator="equal">
      <formula>AS_DEV_EFFORT</formula>
    </cfRule>
  </conditionalFormatting>
  <conditionalFormatting sqref="L191:AC191">
    <cfRule type="expression" dxfId="241" priority="247">
      <formula>AND($G191="Yes", $S$6="Exclude")</formula>
    </cfRule>
    <cfRule type="expression" dxfId="240" priority="248">
      <formula>$J191="Yes"</formula>
    </cfRule>
  </conditionalFormatting>
  <conditionalFormatting sqref="F191">
    <cfRule type="expression" dxfId="239" priority="240">
      <formula>$K191&lt;&gt;""</formula>
    </cfRule>
  </conditionalFormatting>
  <conditionalFormatting sqref="C191">
    <cfRule type="expression" dxfId="238" priority="239">
      <formula>$G191&lt;&gt;"-"</formula>
    </cfRule>
  </conditionalFormatting>
  <conditionalFormatting sqref="D191">
    <cfRule type="expression" dxfId="237" priority="238">
      <formula>$H191&lt;&gt;"-"</formula>
    </cfRule>
  </conditionalFormatting>
  <conditionalFormatting sqref="E191">
    <cfRule type="expression" dxfId="236" priority="237">
      <formula>$I191&lt;&gt;"-"</formula>
    </cfRule>
  </conditionalFormatting>
  <conditionalFormatting sqref="B192">
    <cfRule type="expression" dxfId="235" priority="234">
      <formula>AD192&lt;&gt;""</formula>
    </cfRule>
  </conditionalFormatting>
  <conditionalFormatting sqref="Z192">
    <cfRule type="cellIs" dxfId="234" priority="232" operator="greaterThan">
      <formula>0</formula>
    </cfRule>
    <cfRule type="cellIs" dxfId="233" priority="233" operator="lessThan">
      <formula>0</formula>
    </cfRule>
  </conditionalFormatting>
  <conditionalFormatting sqref="S192">
    <cfRule type="cellIs" dxfId="232" priority="231" operator="lessThan">
      <formula>0</formula>
    </cfRule>
  </conditionalFormatting>
  <conditionalFormatting sqref="P192">
    <cfRule type="cellIs" dxfId="231" priority="229" operator="equal">
      <formula>AS_DURATION_EFFORT</formula>
    </cfRule>
    <cfRule type="cellIs" dxfId="230" priority="230" operator="equal">
      <formula>AS_DEV_EFFORT</formula>
    </cfRule>
  </conditionalFormatting>
  <conditionalFormatting sqref="L192:AC192">
    <cfRule type="expression" dxfId="229" priority="235">
      <formula>AND($G192="Yes", $S$6="Exclude")</formula>
    </cfRule>
    <cfRule type="expression" dxfId="228" priority="236">
      <formula>$J192="Yes"</formula>
    </cfRule>
  </conditionalFormatting>
  <conditionalFormatting sqref="F192">
    <cfRule type="expression" dxfId="227" priority="228">
      <formula>$K192&lt;&gt;""</formula>
    </cfRule>
  </conditionalFormatting>
  <conditionalFormatting sqref="C192">
    <cfRule type="expression" dxfId="226" priority="227">
      <formula>$G192&lt;&gt;"-"</formula>
    </cfRule>
  </conditionalFormatting>
  <conditionalFormatting sqref="D192">
    <cfRule type="expression" dxfId="225" priority="226">
      <formula>$H192&lt;&gt;"-"</formula>
    </cfRule>
  </conditionalFormatting>
  <conditionalFormatting sqref="E192">
    <cfRule type="expression" dxfId="224" priority="225">
      <formula>$I192&lt;&gt;"-"</formula>
    </cfRule>
  </conditionalFormatting>
  <conditionalFormatting sqref="B69">
    <cfRule type="expression" dxfId="223" priority="221">
      <formula>AD69&lt;&gt;""</formula>
    </cfRule>
  </conditionalFormatting>
  <conditionalFormatting sqref="Z69">
    <cfRule type="cellIs" dxfId="222" priority="219" operator="greaterThan">
      <formula>0</formula>
    </cfRule>
    <cfRule type="cellIs" dxfId="221" priority="220" operator="lessThan">
      <formula>0</formula>
    </cfRule>
  </conditionalFormatting>
  <conditionalFormatting sqref="S69">
    <cfRule type="cellIs" dxfId="220" priority="218" operator="lessThan">
      <formula>0</formula>
    </cfRule>
  </conditionalFormatting>
  <conditionalFormatting sqref="T67:T68">
    <cfRule type="expression" dxfId="219" priority="222">
      <formula>#REF!="Yes"</formula>
    </cfRule>
  </conditionalFormatting>
  <conditionalFormatting sqref="P69">
    <cfRule type="cellIs" dxfId="218" priority="216" operator="equal">
      <formula>AS_DURATION_EFFORT</formula>
    </cfRule>
    <cfRule type="cellIs" dxfId="217" priority="217" operator="equal">
      <formula>AS_DEV_EFFORT</formula>
    </cfRule>
  </conditionalFormatting>
  <conditionalFormatting sqref="B67:B68">
    <cfRule type="expression" dxfId="216" priority="215">
      <formula>AD67&lt;&gt;""</formula>
    </cfRule>
  </conditionalFormatting>
  <conditionalFormatting sqref="L69:AC69">
    <cfRule type="expression" dxfId="215" priority="223">
      <formula>AND($G69="Yes", $S$6="Exclude")</formula>
    </cfRule>
    <cfRule type="expression" dxfId="214" priority="224">
      <formula>$J69="Yes"</formula>
    </cfRule>
  </conditionalFormatting>
  <conditionalFormatting sqref="F69">
    <cfRule type="expression" dxfId="213" priority="214">
      <formula>$K69&lt;&gt;""</formula>
    </cfRule>
  </conditionalFormatting>
  <conditionalFormatting sqref="C69">
    <cfRule type="expression" dxfId="212" priority="213">
      <formula>$G69&lt;&gt;"-"</formula>
    </cfRule>
  </conditionalFormatting>
  <conditionalFormatting sqref="D69">
    <cfRule type="expression" dxfId="211" priority="212">
      <formula>$H69&lt;&gt;"-"</formula>
    </cfRule>
  </conditionalFormatting>
  <conditionalFormatting sqref="E69">
    <cfRule type="expression" dxfId="210" priority="211">
      <formula>$I69&lt;&gt;"-"</formula>
    </cfRule>
  </conditionalFormatting>
  <conditionalFormatting sqref="B70">
    <cfRule type="expression" dxfId="209" priority="208">
      <formula>AD70&lt;&gt;""</formula>
    </cfRule>
  </conditionalFormatting>
  <conditionalFormatting sqref="Z70">
    <cfRule type="cellIs" dxfId="208" priority="206" operator="greaterThan">
      <formula>0</formula>
    </cfRule>
    <cfRule type="cellIs" dxfId="207" priority="207" operator="lessThan">
      <formula>0</formula>
    </cfRule>
  </conditionalFormatting>
  <conditionalFormatting sqref="S70">
    <cfRule type="cellIs" dxfId="206" priority="205" operator="lessThan">
      <formula>0</formula>
    </cfRule>
  </conditionalFormatting>
  <conditionalFormatting sqref="P70">
    <cfRule type="cellIs" dxfId="205" priority="203" operator="equal">
      <formula>AS_DURATION_EFFORT</formula>
    </cfRule>
    <cfRule type="cellIs" dxfId="204" priority="204" operator="equal">
      <formula>AS_DEV_EFFORT</formula>
    </cfRule>
  </conditionalFormatting>
  <conditionalFormatting sqref="L70:AC70">
    <cfRule type="expression" dxfId="203" priority="209">
      <formula>AND($G70="Yes", $S$6="Exclude")</formula>
    </cfRule>
    <cfRule type="expression" dxfId="202" priority="210">
      <formula>$J70="Yes"</formula>
    </cfRule>
  </conditionalFormatting>
  <conditionalFormatting sqref="F70">
    <cfRule type="expression" dxfId="201" priority="202">
      <formula>$K70&lt;&gt;""</formula>
    </cfRule>
  </conditionalFormatting>
  <conditionalFormatting sqref="C70">
    <cfRule type="expression" dxfId="200" priority="201">
      <formula>$G70&lt;&gt;"-"</formula>
    </cfRule>
  </conditionalFormatting>
  <conditionalFormatting sqref="D70">
    <cfRule type="expression" dxfId="199" priority="200">
      <formula>$H70&lt;&gt;"-"</formula>
    </cfRule>
  </conditionalFormatting>
  <conditionalFormatting sqref="E70">
    <cfRule type="expression" dxfId="198" priority="199">
      <formula>$I70&lt;&gt;"-"</formula>
    </cfRule>
  </conditionalFormatting>
  <conditionalFormatting sqref="B105">
    <cfRule type="expression" dxfId="197" priority="195">
      <formula>AD105&lt;&gt;""</formula>
    </cfRule>
  </conditionalFormatting>
  <conditionalFormatting sqref="Z105">
    <cfRule type="cellIs" dxfId="196" priority="193" operator="greaterThan">
      <formula>0</formula>
    </cfRule>
    <cfRule type="cellIs" dxfId="195" priority="194" operator="lessThan">
      <formula>0</formula>
    </cfRule>
  </conditionalFormatting>
  <conditionalFormatting sqref="S105">
    <cfRule type="cellIs" dxfId="194" priority="192" operator="lessThan">
      <formula>0</formula>
    </cfRule>
  </conditionalFormatting>
  <conditionalFormatting sqref="T103:T104">
    <cfRule type="expression" dxfId="193" priority="196">
      <formula>#REF!="Yes"</formula>
    </cfRule>
  </conditionalFormatting>
  <conditionalFormatting sqref="P105">
    <cfRule type="cellIs" dxfId="192" priority="190" operator="equal">
      <formula>AS_DURATION_EFFORT</formula>
    </cfRule>
    <cfRule type="cellIs" dxfId="191" priority="191" operator="equal">
      <formula>AS_DEV_EFFORT</formula>
    </cfRule>
  </conditionalFormatting>
  <conditionalFormatting sqref="B103:B104">
    <cfRule type="expression" dxfId="190" priority="189">
      <formula>AD103&lt;&gt;""</formula>
    </cfRule>
  </conditionalFormatting>
  <conditionalFormatting sqref="L105:AC105">
    <cfRule type="expression" dxfId="189" priority="197">
      <formula>AND($G105="Yes", $S$6="Exclude")</formula>
    </cfRule>
    <cfRule type="expression" dxfId="188" priority="198">
      <formula>$J105="Yes"</formula>
    </cfRule>
  </conditionalFormatting>
  <conditionalFormatting sqref="F105">
    <cfRule type="expression" dxfId="187" priority="188">
      <formula>$K105&lt;&gt;""</formula>
    </cfRule>
  </conditionalFormatting>
  <conditionalFormatting sqref="C105">
    <cfRule type="expression" dxfId="186" priority="187">
      <formula>$G105&lt;&gt;"-"</formula>
    </cfRule>
  </conditionalFormatting>
  <conditionalFormatting sqref="D105">
    <cfRule type="expression" dxfId="185" priority="186">
      <formula>$H105&lt;&gt;"-"</formula>
    </cfRule>
  </conditionalFormatting>
  <conditionalFormatting sqref="E105">
    <cfRule type="expression" dxfId="184" priority="185">
      <formula>$I105&lt;&gt;"-"</formula>
    </cfRule>
  </conditionalFormatting>
  <conditionalFormatting sqref="B71">
    <cfRule type="expression" dxfId="183" priority="182">
      <formula>AD71&lt;&gt;""</formula>
    </cfRule>
  </conditionalFormatting>
  <conditionalFormatting sqref="Z71">
    <cfRule type="cellIs" dxfId="182" priority="180" operator="greaterThan">
      <formula>0</formula>
    </cfRule>
    <cfRule type="cellIs" dxfId="181" priority="181" operator="lessThan">
      <formula>0</formula>
    </cfRule>
  </conditionalFormatting>
  <conditionalFormatting sqref="S71">
    <cfRule type="cellIs" dxfId="180" priority="179" operator="lessThan">
      <formula>0</formula>
    </cfRule>
  </conditionalFormatting>
  <conditionalFormatting sqref="P71">
    <cfRule type="cellIs" dxfId="179" priority="177" operator="equal">
      <formula>AS_DURATION_EFFORT</formula>
    </cfRule>
    <cfRule type="cellIs" dxfId="178" priority="178" operator="equal">
      <formula>AS_DEV_EFFORT</formula>
    </cfRule>
  </conditionalFormatting>
  <conditionalFormatting sqref="L71:AC71">
    <cfRule type="expression" dxfId="177" priority="183">
      <formula>AND($G71="Yes", $S$6="Exclude")</formula>
    </cfRule>
    <cfRule type="expression" dxfId="176" priority="184">
      <formula>$J71="Yes"</formula>
    </cfRule>
  </conditionalFormatting>
  <conditionalFormatting sqref="F71">
    <cfRule type="expression" dxfId="175" priority="176">
      <formula>$K71&lt;&gt;""</formula>
    </cfRule>
  </conditionalFormatting>
  <conditionalFormatting sqref="C71">
    <cfRule type="expression" dxfId="174" priority="175">
      <formula>$G71&lt;&gt;"-"</formula>
    </cfRule>
  </conditionalFormatting>
  <conditionalFormatting sqref="D71">
    <cfRule type="expression" dxfId="173" priority="174">
      <formula>$H71&lt;&gt;"-"</formula>
    </cfRule>
  </conditionalFormatting>
  <conditionalFormatting sqref="E71">
    <cfRule type="expression" dxfId="172" priority="173">
      <formula>$I71&lt;&gt;"-"</formula>
    </cfRule>
  </conditionalFormatting>
  <conditionalFormatting sqref="B106">
    <cfRule type="expression" dxfId="171" priority="170">
      <formula>AD106&lt;&gt;""</formula>
    </cfRule>
  </conditionalFormatting>
  <conditionalFormatting sqref="Z106">
    <cfRule type="cellIs" dxfId="170" priority="168" operator="greaterThan">
      <formula>0</formula>
    </cfRule>
    <cfRule type="cellIs" dxfId="169" priority="169" operator="lessThan">
      <formula>0</formula>
    </cfRule>
  </conditionalFormatting>
  <conditionalFormatting sqref="S106">
    <cfRule type="cellIs" dxfId="168" priority="167" operator="lessThan">
      <formula>0</formula>
    </cfRule>
  </conditionalFormatting>
  <conditionalFormatting sqref="P106">
    <cfRule type="cellIs" dxfId="167" priority="165" operator="equal">
      <formula>AS_DURATION_EFFORT</formula>
    </cfRule>
    <cfRule type="cellIs" dxfId="166" priority="166" operator="equal">
      <formula>AS_DEV_EFFORT</formula>
    </cfRule>
  </conditionalFormatting>
  <conditionalFormatting sqref="L106:AC106">
    <cfRule type="expression" dxfId="165" priority="171">
      <formula>AND($G106="Yes", $S$6="Exclude")</formula>
    </cfRule>
    <cfRule type="expression" dxfId="164" priority="172">
      <formula>$J106="Yes"</formula>
    </cfRule>
  </conditionalFormatting>
  <conditionalFormatting sqref="F106">
    <cfRule type="expression" dxfId="163" priority="164">
      <formula>$K106&lt;&gt;""</formula>
    </cfRule>
  </conditionalFormatting>
  <conditionalFormatting sqref="C106">
    <cfRule type="expression" dxfId="162" priority="163">
      <formula>$G106&lt;&gt;"-"</formula>
    </cfRule>
  </conditionalFormatting>
  <conditionalFormatting sqref="D106">
    <cfRule type="expression" dxfId="161" priority="162">
      <formula>$H106&lt;&gt;"-"</formula>
    </cfRule>
  </conditionalFormatting>
  <conditionalFormatting sqref="E106">
    <cfRule type="expression" dxfId="160" priority="161">
      <formula>$I106&lt;&gt;"-"</formula>
    </cfRule>
  </conditionalFormatting>
  <conditionalFormatting sqref="B107">
    <cfRule type="expression" dxfId="159" priority="158">
      <formula>AD107&lt;&gt;""</formula>
    </cfRule>
  </conditionalFormatting>
  <conditionalFormatting sqref="Z107">
    <cfRule type="cellIs" dxfId="158" priority="156" operator="greaterThan">
      <formula>0</formula>
    </cfRule>
    <cfRule type="cellIs" dxfId="157" priority="157" operator="lessThan">
      <formula>0</formula>
    </cfRule>
  </conditionalFormatting>
  <conditionalFormatting sqref="S107">
    <cfRule type="cellIs" dxfId="156" priority="155" operator="lessThan">
      <formula>0</formula>
    </cfRule>
  </conditionalFormatting>
  <conditionalFormatting sqref="P107">
    <cfRule type="cellIs" dxfId="155" priority="153" operator="equal">
      <formula>AS_DURATION_EFFORT</formula>
    </cfRule>
    <cfRule type="cellIs" dxfId="154" priority="154" operator="equal">
      <formula>AS_DEV_EFFORT</formula>
    </cfRule>
  </conditionalFormatting>
  <conditionalFormatting sqref="L107:AC107">
    <cfRule type="expression" dxfId="153" priority="159">
      <formula>AND($G107="Yes", $S$6="Exclude")</formula>
    </cfRule>
    <cfRule type="expression" dxfId="152" priority="160">
      <formula>$J107="Yes"</formula>
    </cfRule>
  </conditionalFormatting>
  <conditionalFormatting sqref="F107">
    <cfRule type="expression" dxfId="151" priority="152">
      <formula>$K107&lt;&gt;""</formula>
    </cfRule>
  </conditionalFormatting>
  <conditionalFormatting sqref="C107">
    <cfRule type="expression" dxfId="150" priority="151">
      <formula>$G107&lt;&gt;"-"</formula>
    </cfRule>
  </conditionalFormatting>
  <conditionalFormatting sqref="D107">
    <cfRule type="expression" dxfId="149" priority="150">
      <formula>$H107&lt;&gt;"-"</formula>
    </cfRule>
  </conditionalFormatting>
  <conditionalFormatting sqref="E107">
    <cfRule type="expression" dxfId="148" priority="149">
      <formula>$I107&lt;&gt;"-"</formula>
    </cfRule>
  </conditionalFormatting>
  <conditionalFormatting sqref="B108">
    <cfRule type="expression" dxfId="147" priority="146">
      <formula>AD108&lt;&gt;""</formula>
    </cfRule>
  </conditionalFormatting>
  <conditionalFormatting sqref="Z108">
    <cfRule type="cellIs" dxfId="146" priority="144" operator="greaterThan">
      <formula>0</formula>
    </cfRule>
    <cfRule type="cellIs" dxfId="145" priority="145" operator="lessThan">
      <formula>0</formula>
    </cfRule>
  </conditionalFormatting>
  <conditionalFormatting sqref="S108">
    <cfRule type="cellIs" dxfId="144" priority="143" operator="lessThan">
      <formula>0</formula>
    </cfRule>
  </conditionalFormatting>
  <conditionalFormatting sqref="P108">
    <cfRule type="cellIs" dxfId="143" priority="141" operator="equal">
      <formula>AS_DURATION_EFFORT</formula>
    </cfRule>
    <cfRule type="cellIs" dxfId="142" priority="142" operator="equal">
      <formula>AS_DEV_EFFORT</formula>
    </cfRule>
  </conditionalFormatting>
  <conditionalFormatting sqref="L108:AC108">
    <cfRule type="expression" dxfId="141" priority="147">
      <formula>AND($G108="Yes", $S$6="Exclude")</formula>
    </cfRule>
    <cfRule type="expression" dxfId="140" priority="148">
      <formula>$J108="Yes"</formula>
    </cfRule>
  </conditionalFormatting>
  <conditionalFormatting sqref="F108">
    <cfRule type="expression" dxfId="139" priority="140">
      <formula>$K108&lt;&gt;""</formula>
    </cfRule>
  </conditionalFormatting>
  <conditionalFormatting sqref="C108">
    <cfRule type="expression" dxfId="138" priority="139">
      <formula>$G108&lt;&gt;"-"</formula>
    </cfRule>
  </conditionalFormatting>
  <conditionalFormatting sqref="D108">
    <cfRule type="expression" dxfId="137" priority="138">
      <formula>$H108&lt;&gt;"-"</formula>
    </cfRule>
  </conditionalFormatting>
  <conditionalFormatting sqref="E108">
    <cfRule type="expression" dxfId="136" priority="137">
      <formula>$I108&lt;&gt;"-"</formula>
    </cfRule>
  </conditionalFormatting>
  <conditionalFormatting sqref="B109">
    <cfRule type="expression" dxfId="135" priority="134">
      <formula>AD109&lt;&gt;""</formula>
    </cfRule>
  </conditionalFormatting>
  <conditionalFormatting sqref="Z109">
    <cfRule type="cellIs" dxfId="134" priority="132" operator="greaterThan">
      <formula>0</formula>
    </cfRule>
    <cfRule type="cellIs" dxfId="133" priority="133" operator="lessThan">
      <formula>0</formula>
    </cfRule>
  </conditionalFormatting>
  <conditionalFormatting sqref="S109">
    <cfRule type="cellIs" dxfId="132" priority="131" operator="lessThan">
      <formula>0</formula>
    </cfRule>
  </conditionalFormatting>
  <conditionalFormatting sqref="P109">
    <cfRule type="cellIs" dxfId="131" priority="129" operator="equal">
      <formula>AS_DURATION_EFFORT</formula>
    </cfRule>
    <cfRule type="cellIs" dxfId="130" priority="130" operator="equal">
      <formula>AS_DEV_EFFORT</formula>
    </cfRule>
  </conditionalFormatting>
  <conditionalFormatting sqref="L109:AC109">
    <cfRule type="expression" dxfId="129" priority="135">
      <formula>AND($G109="Yes", $S$6="Exclude")</formula>
    </cfRule>
    <cfRule type="expression" dxfId="128" priority="136">
      <formula>$J109="Yes"</formula>
    </cfRule>
  </conditionalFormatting>
  <conditionalFormatting sqref="F109">
    <cfRule type="expression" dxfId="127" priority="128">
      <formula>$K109&lt;&gt;""</formula>
    </cfRule>
  </conditionalFormatting>
  <conditionalFormatting sqref="C109">
    <cfRule type="expression" dxfId="126" priority="127">
      <formula>$G109&lt;&gt;"-"</formula>
    </cfRule>
  </conditionalFormatting>
  <conditionalFormatting sqref="D109">
    <cfRule type="expression" dxfId="125" priority="126">
      <formula>$H109&lt;&gt;"-"</formula>
    </cfRule>
  </conditionalFormatting>
  <conditionalFormatting sqref="E109">
    <cfRule type="expression" dxfId="124" priority="125">
      <formula>$I109&lt;&gt;"-"</formula>
    </cfRule>
  </conditionalFormatting>
  <conditionalFormatting sqref="B110">
    <cfRule type="expression" dxfId="123" priority="122">
      <formula>AD110&lt;&gt;""</formula>
    </cfRule>
  </conditionalFormatting>
  <conditionalFormatting sqref="Z110">
    <cfRule type="cellIs" dxfId="122" priority="120" operator="greaterThan">
      <formula>0</formula>
    </cfRule>
    <cfRule type="cellIs" dxfId="121" priority="121" operator="lessThan">
      <formula>0</formula>
    </cfRule>
  </conditionalFormatting>
  <conditionalFormatting sqref="S110">
    <cfRule type="cellIs" dxfId="120" priority="119" operator="lessThan">
      <formula>0</formula>
    </cfRule>
  </conditionalFormatting>
  <conditionalFormatting sqref="P110">
    <cfRule type="cellIs" dxfId="119" priority="117" operator="equal">
      <formula>AS_DURATION_EFFORT</formula>
    </cfRule>
    <cfRule type="cellIs" dxfId="118" priority="118" operator="equal">
      <formula>AS_DEV_EFFORT</formula>
    </cfRule>
  </conditionalFormatting>
  <conditionalFormatting sqref="L110:AC110">
    <cfRule type="expression" dxfId="117" priority="123">
      <formula>AND($G110="Yes", $S$6="Exclude")</formula>
    </cfRule>
    <cfRule type="expression" dxfId="116" priority="124">
      <formula>$J110="Yes"</formula>
    </cfRule>
  </conditionalFormatting>
  <conditionalFormatting sqref="F110">
    <cfRule type="expression" dxfId="115" priority="116">
      <formula>$K110&lt;&gt;""</formula>
    </cfRule>
  </conditionalFormatting>
  <conditionalFormatting sqref="C110">
    <cfRule type="expression" dxfId="114" priority="115">
      <formula>$G110&lt;&gt;"-"</formula>
    </cfRule>
  </conditionalFormatting>
  <conditionalFormatting sqref="D110">
    <cfRule type="expression" dxfId="113" priority="114">
      <formula>$H110&lt;&gt;"-"</formula>
    </cfRule>
  </conditionalFormatting>
  <conditionalFormatting sqref="E110">
    <cfRule type="expression" dxfId="112" priority="113">
      <formula>$I110&lt;&gt;"-"</formula>
    </cfRule>
  </conditionalFormatting>
  <conditionalFormatting sqref="B111">
    <cfRule type="expression" dxfId="111" priority="110">
      <formula>AD111&lt;&gt;""</formula>
    </cfRule>
  </conditionalFormatting>
  <conditionalFormatting sqref="Z111">
    <cfRule type="cellIs" dxfId="110" priority="108" operator="greaterThan">
      <formula>0</formula>
    </cfRule>
    <cfRule type="cellIs" dxfId="109" priority="109" operator="lessThan">
      <formula>0</formula>
    </cfRule>
  </conditionalFormatting>
  <conditionalFormatting sqref="S111">
    <cfRule type="cellIs" dxfId="108" priority="107" operator="lessThan">
      <formula>0</formula>
    </cfRule>
  </conditionalFormatting>
  <conditionalFormatting sqref="P111">
    <cfRule type="cellIs" dxfId="107" priority="105" operator="equal">
      <formula>AS_DURATION_EFFORT</formula>
    </cfRule>
    <cfRule type="cellIs" dxfId="106" priority="106" operator="equal">
      <formula>AS_DEV_EFFORT</formula>
    </cfRule>
  </conditionalFormatting>
  <conditionalFormatting sqref="L111:AC111">
    <cfRule type="expression" dxfId="105" priority="111">
      <formula>AND($G111="Yes", $S$6="Exclude")</formula>
    </cfRule>
    <cfRule type="expression" dxfId="104" priority="112">
      <formula>$J111="Yes"</formula>
    </cfRule>
  </conditionalFormatting>
  <conditionalFormatting sqref="F111">
    <cfRule type="expression" dxfId="103" priority="104">
      <formula>$K111&lt;&gt;""</formula>
    </cfRule>
  </conditionalFormatting>
  <conditionalFormatting sqref="C111">
    <cfRule type="expression" dxfId="102" priority="103">
      <formula>$G111&lt;&gt;"-"</formula>
    </cfRule>
  </conditionalFormatting>
  <conditionalFormatting sqref="D111">
    <cfRule type="expression" dxfId="101" priority="102">
      <formula>$H111&lt;&gt;"-"</formula>
    </cfRule>
  </conditionalFormatting>
  <conditionalFormatting sqref="E111">
    <cfRule type="expression" dxfId="100" priority="101">
      <formula>$I111&lt;&gt;"-"</formula>
    </cfRule>
  </conditionalFormatting>
  <conditionalFormatting sqref="B157">
    <cfRule type="expression" dxfId="99" priority="97">
      <formula>AD157&lt;&gt;""</formula>
    </cfRule>
  </conditionalFormatting>
  <conditionalFormatting sqref="Z157">
    <cfRule type="cellIs" dxfId="98" priority="95" operator="greaterThan">
      <formula>0</formula>
    </cfRule>
    <cfRule type="cellIs" dxfId="97" priority="96" operator="lessThan">
      <formula>0</formula>
    </cfRule>
  </conditionalFormatting>
  <conditionalFormatting sqref="S157">
    <cfRule type="cellIs" dxfId="96" priority="94" operator="lessThan">
      <formula>0</formula>
    </cfRule>
  </conditionalFormatting>
  <conditionalFormatting sqref="T155:T156">
    <cfRule type="expression" dxfId="95" priority="98">
      <formula>#REF!="Yes"</formula>
    </cfRule>
  </conditionalFormatting>
  <conditionalFormatting sqref="P157">
    <cfRule type="cellIs" dxfId="94" priority="92" operator="equal">
      <formula>AS_DURATION_EFFORT</formula>
    </cfRule>
    <cfRule type="cellIs" dxfId="93" priority="93" operator="equal">
      <formula>AS_DEV_EFFORT</formula>
    </cfRule>
  </conditionalFormatting>
  <conditionalFormatting sqref="B155:B156">
    <cfRule type="expression" dxfId="92" priority="91">
      <formula>AD155&lt;&gt;""</formula>
    </cfRule>
  </conditionalFormatting>
  <conditionalFormatting sqref="L157:AC157">
    <cfRule type="expression" dxfId="91" priority="99">
      <formula>AND($G157="Yes", $S$6="Exclude")</formula>
    </cfRule>
    <cfRule type="expression" dxfId="90" priority="100">
      <formula>$J157="Yes"</formula>
    </cfRule>
  </conditionalFormatting>
  <conditionalFormatting sqref="F157">
    <cfRule type="expression" dxfId="89" priority="90">
      <formula>$K157&lt;&gt;""</formula>
    </cfRule>
  </conditionalFormatting>
  <conditionalFormatting sqref="C157">
    <cfRule type="expression" dxfId="88" priority="89">
      <formula>$G157&lt;&gt;"-"</formula>
    </cfRule>
  </conditionalFormatting>
  <conditionalFormatting sqref="D157">
    <cfRule type="expression" dxfId="87" priority="88">
      <formula>$H157&lt;&gt;"-"</formula>
    </cfRule>
  </conditionalFormatting>
  <conditionalFormatting sqref="E157">
    <cfRule type="expression" dxfId="86" priority="87">
      <formula>$I157&lt;&gt;"-"</formula>
    </cfRule>
  </conditionalFormatting>
  <conditionalFormatting sqref="B112">
    <cfRule type="expression" dxfId="85" priority="84">
      <formula>AD112&lt;&gt;""</formula>
    </cfRule>
  </conditionalFormatting>
  <conditionalFormatting sqref="Z112">
    <cfRule type="cellIs" dxfId="84" priority="82" operator="greaterThan">
      <formula>0</formula>
    </cfRule>
    <cfRule type="cellIs" dxfId="83" priority="83" operator="lessThan">
      <formula>0</formula>
    </cfRule>
  </conditionalFormatting>
  <conditionalFormatting sqref="S112">
    <cfRule type="cellIs" dxfId="82" priority="81" operator="lessThan">
      <formula>0</formula>
    </cfRule>
  </conditionalFormatting>
  <conditionalFormatting sqref="P112">
    <cfRule type="cellIs" dxfId="81" priority="79" operator="equal">
      <formula>AS_DURATION_EFFORT</formula>
    </cfRule>
    <cfRule type="cellIs" dxfId="80" priority="80" operator="equal">
      <formula>AS_DEV_EFFORT</formula>
    </cfRule>
  </conditionalFormatting>
  <conditionalFormatting sqref="L112:AC112">
    <cfRule type="expression" dxfId="79" priority="85">
      <formula>AND($G112="Yes", $S$6="Exclude")</formula>
    </cfRule>
    <cfRule type="expression" dxfId="78" priority="86">
      <formula>$J112="Yes"</formula>
    </cfRule>
  </conditionalFormatting>
  <conditionalFormatting sqref="F112">
    <cfRule type="expression" dxfId="77" priority="78">
      <formula>$K112&lt;&gt;""</formula>
    </cfRule>
  </conditionalFormatting>
  <conditionalFormatting sqref="C112">
    <cfRule type="expression" dxfId="76" priority="77">
      <formula>$G112&lt;&gt;"-"</formula>
    </cfRule>
  </conditionalFormatting>
  <conditionalFormatting sqref="D112">
    <cfRule type="expression" dxfId="75" priority="76">
      <formula>$H112&lt;&gt;"-"</formula>
    </cfRule>
  </conditionalFormatting>
  <conditionalFormatting sqref="E112">
    <cfRule type="expression" dxfId="74" priority="75">
      <formula>$I112&lt;&gt;"-"</formula>
    </cfRule>
  </conditionalFormatting>
  <conditionalFormatting sqref="B158">
    <cfRule type="expression" dxfId="73" priority="72">
      <formula>AD158&lt;&gt;""</formula>
    </cfRule>
  </conditionalFormatting>
  <conditionalFormatting sqref="Z158">
    <cfRule type="cellIs" dxfId="72" priority="70" operator="greaterThan">
      <formula>0</formula>
    </cfRule>
    <cfRule type="cellIs" dxfId="71" priority="71" operator="lessThan">
      <formula>0</formula>
    </cfRule>
  </conditionalFormatting>
  <conditionalFormatting sqref="S158">
    <cfRule type="cellIs" dxfId="70" priority="69" operator="lessThan">
      <formula>0</formula>
    </cfRule>
  </conditionalFormatting>
  <conditionalFormatting sqref="P158">
    <cfRule type="cellIs" dxfId="69" priority="67" operator="equal">
      <formula>AS_DURATION_EFFORT</formula>
    </cfRule>
    <cfRule type="cellIs" dxfId="68" priority="68" operator="equal">
      <formula>AS_DEV_EFFORT</formula>
    </cfRule>
  </conditionalFormatting>
  <conditionalFormatting sqref="L158:AC158">
    <cfRule type="expression" dxfId="67" priority="73">
      <formula>AND($G158="Yes", $S$6="Exclude")</formula>
    </cfRule>
    <cfRule type="expression" dxfId="66" priority="74">
      <formula>$J158="Yes"</formula>
    </cfRule>
  </conditionalFormatting>
  <conditionalFormatting sqref="F158">
    <cfRule type="expression" dxfId="65" priority="66">
      <formula>$K158&lt;&gt;""</formula>
    </cfRule>
  </conditionalFormatting>
  <conditionalFormatting sqref="C158">
    <cfRule type="expression" dxfId="64" priority="65">
      <formula>$G158&lt;&gt;"-"</formula>
    </cfRule>
  </conditionalFormatting>
  <conditionalFormatting sqref="D158">
    <cfRule type="expression" dxfId="63" priority="64">
      <formula>$H158&lt;&gt;"-"</formula>
    </cfRule>
  </conditionalFormatting>
  <conditionalFormatting sqref="E158">
    <cfRule type="expression" dxfId="62" priority="63">
      <formula>$I158&lt;&gt;"-"</formula>
    </cfRule>
  </conditionalFormatting>
  <conditionalFormatting sqref="B202">
    <cfRule type="expression" dxfId="61" priority="59">
      <formula>AD202&lt;&gt;""</formula>
    </cfRule>
  </conditionalFormatting>
  <conditionalFormatting sqref="Z202">
    <cfRule type="cellIs" dxfId="60" priority="57" operator="greaterThan">
      <formula>0</formula>
    </cfRule>
    <cfRule type="cellIs" dxfId="59" priority="58" operator="lessThan">
      <formula>0</formula>
    </cfRule>
  </conditionalFormatting>
  <conditionalFormatting sqref="S202">
    <cfRule type="cellIs" dxfId="58" priority="56" operator="lessThan">
      <formula>0</formula>
    </cfRule>
  </conditionalFormatting>
  <conditionalFormatting sqref="T197:T198">
    <cfRule type="expression" dxfId="57" priority="60">
      <formula>#REF!="Yes"</formula>
    </cfRule>
  </conditionalFormatting>
  <conditionalFormatting sqref="P202">
    <cfRule type="cellIs" dxfId="56" priority="54" operator="equal">
      <formula>AS_DURATION_EFFORT</formula>
    </cfRule>
    <cfRule type="cellIs" dxfId="55" priority="55" operator="equal">
      <formula>AS_DEV_EFFORT</formula>
    </cfRule>
  </conditionalFormatting>
  <conditionalFormatting sqref="B197:B198">
    <cfRule type="expression" dxfId="54" priority="53">
      <formula>AD197&lt;&gt;""</formula>
    </cfRule>
  </conditionalFormatting>
  <conditionalFormatting sqref="L202:AC202">
    <cfRule type="expression" dxfId="53" priority="61">
      <formula>AND($G202="Yes", $S$6="Exclude")</formula>
    </cfRule>
    <cfRule type="expression" dxfId="52" priority="62">
      <formula>$J202="Yes"</formula>
    </cfRule>
  </conditionalFormatting>
  <conditionalFormatting sqref="F202">
    <cfRule type="expression" dxfId="51" priority="52">
      <formula>$K202&lt;&gt;""</formula>
    </cfRule>
  </conditionalFormatting>
  <conditionalFormatting sqref="C202">
    <cfRule type="expression" dxfId="50" priority="51">
      <formula>$G202&lt;&gt;"-"</formula>
    </cfRule>
  </conditionalFormatting>
  <conditionalFormatting sqref="D202">
    <cfRule type="expression" dxfId="49" priority="50">
      <formula>$H202&lt;&gt;"-"</formula>
    </cfRule>
  </conditionalFormatting>
  <conditionalFormatting sqref="E202">
    <cfRule type="expression" dxfId="48" priority="49">
      <formula>$I202&lt;&gt;"-"</formula>
    </cfRule>
  </conditionalFormatting>
  <conditionalFormatting sqref="B199">
    <cfRule type="expression" dxfId="47" priority="46">
      <formula>AD199&lt;&gt;""</formula>
    </cfRule>
  </conditionalFormatting>
  <conditionalFormatting sqref="Z199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99">
    <cfRule type="cellIs" dxfId="44" priority="43" operator="lessThan">
      <formula>0</formula>
    </cfRule>
  </conditionalFormatting>
  <conditionalFormatting sqref="P199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99:AC199">
    <cfRule type="expression" dxfId="41" priority="47">
      <formula>AND($G199="Yes", $S$6="Exclude")</formula>
    </cfRule>
    <cfRule type="expression" dxfId="40" priority="48">
      <formula>$J199="Yes"</formula>
    </cfRule>
  </conditionalFormatting>
  <conditionalFormatting sqref="F199">
    <cfRule type="expression" dxfId="39" priority="40">
      <formula>$K199&lt;&gt;""</formula>
    </cfRule>
  </conditionalFormatting>
  <conditionalFormatting sqref="C199">
    <cfRule type="expression" dxfId="38" priority="39">
      <formula>$G199&lt;&gt;"-"</formula>
    </cfRule>
  </conditionalFormatting>
  <conditionalFormatting sqref="D199">
    <cfRule type="expression" dxfId="37" priority="38">
      <formula>$H199&lt;&gt;"-"</formula>
    </cfRule>
  </conditionalFormatting>
  <conditionalFormatting sqref="E199">
    <cfRule type="expression" dxfId="36" priority="37">
      <formula>$I199&lt;&gt;"-"</formula>
    </cfRule>
  </conditionalFormatting>
  <conditionalFormatting sqref="B200">
    <cfRule type="expression" dxfId="35" priority="34">
      <formula>AD200&lt;&gt;""</formula>
    </cfRule>
  </conditionalFormatting>
  <conditionalFormatting sqref="Z200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200">
    <cfRule type="cellIs" dxfId="32" priority="31" operator="lessThan">
      <formula>0</formula>
    </cfRule>
  </conditionalFormatting>
  <conditionalFormatting sqref="P200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200:AC200">
    <cfRule type="expression" dxfId="29" priority="35">
      <formula>AND($G200="Yes", $S$6="Exclude")</formula>
    </cfRule>
    <cfRule type="expression" dxfId="28" priority="36">
      <formula>$J200="Yes"</formula>
    </cfRule>
  </conditionalFormatting>
  <conditionalFormatting sqref="F200">
    <cfRule type="expression" dxfId="27" priority="28">
      <formula>$K200&lt;&gt;""</formula>
    </cfRule>
  </conditionalFormatting>
  <conditionalFormatting sqref="C200">
    <cfRule type="expression" dxfId="26" priority="27">
      <formula>$G200&lt;&gt;"-"</formula>
    </cfRule>
  </conditionalFormatting>
  <conditionalFormatting sqref="D200">
    <cfRule type="expression" dxfId="25" priority="26">
      <formula>$H200&lt;&gt;"-"</formula>
    </cfRule>
  </conditionalFormatting>
  <conditionalFormatting sqref="E200">
    <cfRule type="expression" dxfId="24" priority="25">
      <formula>$I200&lt;&gt;"-"</formula>
    </cfRule>
  </conditionalFormatting>
  <conditionalFormatting sqref="B201">
    <cfRule type="expression" dxfId="23" priority="22">
      <formula>AD201&lt;&gt;""</formula>
    </cfRule>
  </conditionalFormatting>
  <conditionalFormatting sqref="Z201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201">
    <cfRule type="cellIs" dxfId="20" priority="19" operator="lessThan">
      <formula>0</formula>
    </cfRule>
  </conditionalFormatting>
  <conditionalFormatting sqref="P201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201:AC201">
    <cfRule type="expression" dxfId="17" priority="23">
      <formula>AND($G201="Yes", $S$6="Exclude")</formula>
    </cfRule>
    <cfRule type="expression" dxfId="16" priority="24">
      <formula>$J201="Yes"</formula>
    </cfRule>
  </conditionalFormatting>
  <conditionalFormatting sqref="F201">
    <cfRule type="expression" dxfId="15" priority="16">
      <formula>$K201&lt;&gt;""</formula>
    </cfRule>
  </conditionalFormatting>
  <conditionalFormatting sqref="C201">
    <cfRule type="expression" dxfId="14" priority="15">
      <formula>$G201&lt;&gt;"-"</formula>
    </cfRule>
  </conditionalFormatting>
  <conditionalFormatting sqref="D201">
    <cfRule type="expression" dxfId="13" priority="14">
      <formula>$H201&lt;&gt;"-"</formula>
    </cfRule>
  </conditionalFormatting>
  <conditionalFormatting sqref="E201">
    <cfRule type="expression" dxfId="12" priority="13">
      <formula>$I201&lt;&gt;"-"</formula>
    </cfRule>
  </conditionalFormatting>
  <conditionalFormatting sqref="B203">
    <cfRule type="expression" dxfId="11" priority="10">
      <formula>AD203&lt;&gt;""</formula>
    </cfRule>
  </conditionalFormatting>
  <conditionalFormatting sqref="Z203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203">
    <cfRule type="cellIs" dxfId="8" priority="7" operator="lessThan">
      <formula>0</formula>
    </cfRule>
  </conditionalFormatting>
  <conditionalFormatting sqref="P203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203:AC203">
    <cfRule type="expression" dxfId="5" priority="11">
      <formula>AND($G203="Yes", $S$6="Exclude")</formula>
    </cfRule>
    <cfRule type="expression" dxfId="4" priority="12">
      <formula>$J203="Yes"</formula>
    </cfRule>
  </conditionalFormatting>
  <conditionalFormatting sqref="F203">
    <cfRule type="expression" dxfId="3" priority="4">
      <formula>$K203&lt;&gt;""</formula>
    </cfRule>
  </conditionalFormatting>
  <conditionalFormatting sqref="C203">
    <cfRule type="expression" dxfId="2" priority="3">
      <formula>$G203&lt;&gt;"-"</formula>
    </cfRule>
  </conditionalFormatting>
  <conditionalFormatting sqref="D203">
    <cfRule type="expression" dxfId="1" priority="2">
      <formula>$H203&lt;&gt;"-"</formula>
    </cfRule>
  </conditionalFormatting>
  <conditionalFormatting sqref="E203">
    <cfRule type="expression" dxfId="0" priority="1">
      <formula>$I203&lt;&gt;"-"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88" xr:uid="{00000000-0002-0000-0100-000002000000}">
      <formula1>YES_NO_LIST</formula1>
    </dataValidation>
    <dataValidation type="list" allowBlank="1" showInputMessage="1" showErrorMessage="1" sqref="O285" xr:uid="{00000000-0002-0000-0100-000003000000}">
      <formula1>PLATFORMS_LIST</formula1>
    </dataValidation>
    <dataValidation type="list" allowBlank="1" showInputMessage="1" showErrorMessage="1" sqref="O286" xr:uid="{00000000-0002-0000-0100-000004000000}">
      <formula1>PROJECT_TYPES_LIST</formula1>
    </dataValidation>
    <dataValidation type="list" allowBlank="1" showInputMessage="1" showErrorMessage="1" sqref="O290" xr:uid="{00000000-0002-0000-0100-000005000000}">
      <formula1>CURRENCIES_LIST</formula1>
    </dataValidation>
    <dataValidation type="list" allowBlank="1" showInputMessage="1" showErrorMessage="1" sqref="O289" xr:uid="{00000000-0002-0000-0100-000006000000}">
      <formula1>REGIONS_LIST</formula1>
    </dataValidation>
    <dataValidation type="list" showInputMessage="1" showErrorMessage="1" sqref="G406 J406 G16:G18 J75:J76 J138:J139 J143 J132:J133 J123:J127 G116:G119 J230 G80 J80 J84:J87 G75:G76 G84:G87 J91:J98 G91:G98 J116:J119 G123:G127 G132:G133 G143 G138:G139 J175:J176 G175:G176 J180:J183 G180:G183 J187:J192 G162:G163 J207:J208 G207:G208 G212 J212 J216 G216 J220:J223 G220:G223 G230 J16:J18 J22:J24 G28:G31 J35:J39 J43:J45 G49:G54 G22:G24 J28:J31 G35:G39 G43:G45 J49:J54 G58:G62 J58:J62 J148:J149 G148:G149 G168:G171 J168:J171 J162:J163 G187:G192 G69:G71 G105:G112 J69:J71 G157:G158 J105:J112 J157:J158 J199:J203 G199:G203" xr:uid="{00000000-0002-0000-0100-000007000000}">
      <formula1>YES_NO_LIST</formula1>
    </dataValidation>
    <dataValidation type="list" showInputMessage="1" showErrorMessage="1" sqref="I406 I143 I123:I127 I116:I119 I230 I80 I75:I76 I84:I87 I91:I98 I132:I133 I138:I139 I175:I176 I180:I183 I162:I163 I207:I208 I212 I216 I220:I223 I16:I18 I22:I24 I28:I31 I35:I39 I43:I45 I49:I54 I58:I62 I148:I149 I168:I171 I187:I192 I69:I71 I105:I112 I157:I158 I199:I203" xr:uid="{00000000-0002-0000-0100-000008000000}">
      <formula1>EXTRAS_LIST</formula1>
    </dataValidation>
    <dataValidation type="list" showInputMessage="1" showErrorMessage="1" sqref="H406 H143 H123:H127 H116:H119 H230 H80 H75:H76 H84:H87 H91:H98 H132:H133 H138:H139 H175:H176 H180:H183 H162:H163 H207:H208 H212 H216 H220:H223 H16:H18 H22:H24 H28:H31 H35:H39 H43:H45 H49:H54 H58:H62 H148:H149 H168:H171 H187:H192 H69:H71 H105:H112 H157:H158 H199:H203" xr:uid="{00000000-0002-0000-0100-000009000000}">
      <formula1>BUFFER_TYPES_LIST</formula1>
    </dataValidation>
    <dataValidation type="list" showInputMessage="1" showErrorMessage="1" sqref="S240" xr:uid="{00000000-0002-0000-0100-00000A000000}">
      <formula1>"Default, Extended"</formula1>
    </dataValidation>
  </dataValidations>
  <hyperlinks>
    <hyperlink ref="T276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24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1562100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263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baseColWidth="10" defaultColWidth="3.83203125" defaultRowHeight="15" x14ac:dyDescent="0.2"/>
  <cols>
    <col min="2" max="2" width="38.5" customWidth="1"/>
    <col min="3" max="4" width="3.83203125" customWidth="1"/>
  </cols>
  <sheetData>
    <row r="1" spans="2:38" ht="15" customHeight="1" x14ac:dyDescent="0.2">
      <c r="B1" s="64" t="s">
        <v>91</v>
      </c>
      <c r="C1" s="315">
        <f>START_DATE</f>
        <v>42583</v>
      </c>
      <c r="D1" s="315"/>
      <c r="E1" s="315"/>
      <c r="F1" s="315"/>
      <c r="I1" s="1" t="s">
        <v>95</v>
      </c>
      <c r="L1" s="316">
        <v>41583</v>
      </c>
      <c r="M1" s="316"/>
      <c r="N1" s="316"/>
      <c r="O1" s="31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2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2">
      <c r="B3" s="64" t="s">
        <v>93</v>
      </c>
      <c r="C3" s="313">
        <v>1</v>
      </c>
      <c r="D3" s="314"/>
      <c r="E3" s="314"/>
      <c r="F3" s="317"/>
      <c r="G3" s="313">
        <f>C3+1</f>
        <v>2</v>
      </c>
      <c r="H3" s="314"/>
      <c r="I3" s="314"/>
      <c r="J3" s="314"/>
      <c r="K3" s="313">
        <f>G3+1</f>
        <v>3</v>
      </c>
      <c r="L3" s="314"/>
      <c r="M3" s="314"/>
      <c r="N3" s="314"/>
      <c r="O3" s="313">
        <f>K3+1</f>
        <v>4</v>
      </c>
      <c r="P3" s="314"/>
      <c r="Q3" s="314"/>
      <c r="R3" s="314"/>
      <c r="S3" s="313">
        <f>O3+1</f>
        <v>5</v>
      </c>
      <c r="T3" s="314"/>
      <c r="U3" s="314"/>
      <c r="V3" s="314"/>
      <c r="W3" s="313">
        <f>S3+1</f>
        <v>6</v>
      </c>
      <c r="X3" s="314"/>
      <c r="Y3" s="314"/>
      <c r="Z3" s="314"/>
      <c r="AA3" s="313">
        <f>W3+1</f>
        <v>7</v>
      </c>
      <c r="AB3" s="314"/>
      <c r="AC3" s="314"/>
      <c r="AD3" s="314"/>
      <c r="AE3" s="313">
        <f>AA3+1</f>
        <v>8</v>
      </c>
      <c r="AF3" s="314"/>
      <c r="AG3" s="314"/>
      <c r="AH3" s="314"/>
      <c r="AI3" s="313">
        <f>AE3+1</f>
        <v>9</v>
      </c>
      <c r="AJ3" s="314"/>
      <c r="AK3" s="314"/>
      <c r="AL3" s="314"/>
    </row>
    <row r="4" spans="2:38" ht="45.75" customHeight="1" x14ac:dyDescent="0.2">
      <c r="B4" s="65" t="s">
        <v>94</v>
      </c>
      <c r="C4" s="66">
        <f>START_DATE</f>
        <v>42583</v>
      </c>
      <c r="D4" s="67">
        <f t="shared" ref="D4:AL4" si="0">WORKDAY(C4,5)</f>
        <v>42590</v>
      </c>
      <c r="E4" s="67">
        <f t="shared" si="0"/>
        <v>42597</v>
      </c>
      <c r="F4" s="68">
        <f t="shared" si="0"/>
        <v>42604</v>
      </c>
      <c r="G4" s="66">
        <f t="shared" si="0"/>
        <v>42611</v>
      </c>
      <c r="H4" s="67">
        <f t="shared" si="0"/>
        <v>42618</v>
      </c>
      <c r="I4" s="67">
        <f t="shared" si="0"/>
        <v>42625</v>
      </c>
      <c r="J4" s="67">
        <f t="shared" si="0"/>
        <v>42632</v>
      </c>
      <c r="K4" s="66">
        <f t="shared" si="0"/>
        <v>42639</v>
      </c>
      <c r="L4" s="67">
        <f t="shared" si="0"/>
        <v>42646</v>
      </c>
      <c r="M4" s="67">
        <f t="shared" si="0"/>
        <v>42653</v>
      </c>
      <c r="N4" s="67">
        <f t="shared" si="0"/>
        <v>42660</v>
      </c>
      <c r="O4" s="66">
        <f t="shared" si="0"/>
        <v>42667</v>
      </c>
      <c r="P4" s="67">
        <f t="shared" si="0"/>
        <v>42674</v>
      </c>
      <c r="Q4" s="67">
        <f t="shared" si="0"/>
        <v>42681</v>
      </c>
      <c r="R4" s="67">
        <f t="shared" si="0"/>
        <v>42688</v>
      </c>
      <c r="S4" s="66">
        <f t="shared" si="0"/>
        <v>42695</v>
      </c>
      <c r="T4" s="67">
        <f t="shared" si="0"/>
        <v>42702</v>
      </c>
      <c r="U4" s="67">
        <f t="shared" si="0"/>
        <v>42709</v>
      </c>
      <c r="V4" s="67">
        <f t="shared" si="0"/>
        <v>42716</v>
      </c>
      <c r="W4" s="66">
        <f t="shared" si="0"/>
        <v>42723</v>
      </c>
      <c r="X4" s="67">
        <f t="shared" si="0"/>
        <v>42730</v>
      </c>
      <c r="Y4" s="67">
        <f t="shared" si="0"/>
        <v>42737</v>
      </c>
      <c r="Z4" s="67">
        <f t="shared" si="0"/>
        <v>42744</v>
      </c>
      <c r="AA4" s="66">
        <f t="shared" si="0"/>
        <v>42751</v>
      </c>
      <c r="AB4" s="67">
        <f t="shared" si="0"/>
        <v>42758</v>
      </c>
      <c r="AC4" s="67">
        <f t="shared" si="0"/>
        <v>42765</v>
      </c>
      <c r="AD4" s="67">
        <f t="shared" si="0"/>
        <v>42772</v>
      </c>
      <c r="AE4" s="66">
        <f t="shared" si="0"/>
        <v>42779</v>
      </c>
      <c r="AF4" s="67">
        <f t="shared" si="0"/>
        <v>42786</v>
      </c>
      <c r="AG4" s="67">
        <f t="shared" si="0"/>
        <v>42793</v>
      </c>
      <c r="AH4" s="67">
        <f t="shared" si="0"/>
        <v>42800</v>
      </c>
      <c r="AI4" s="66">
        <f t="shared" si="0"/>
        <v>42807</v>
      </c>
      <c r="AJ4" s="67">
        <f t="shared" si="0"/>
        <v>42814</v>
      </c>
      <c r="AK4" s="67">
        <f t="shared" si="0"/>
        <v>42821</v>
      </c>
      <c r="AL4" s="67">
        <f t="shared" si="0"/>
        <v>42828</v>
      </c>
    </row>
    <row r="5" spans="2:38" x14ac:dyDescent="0.2">
      <c r="B5" s="117" t="s">
        <v>120</v>
      </c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</row>
    <row r="6" spans="2:38" x14ac:dyDescent="0.2">
      <c r="B6" s="115" t="str">
        <f>Estimation!N267</f>
        <v>Discovery / Requirement Analysis</v>
      </c>
      <c r="C6" s="119"/>
      <c r="D6" s="119"/>
      <c r="E6" s="119"/>
    </row>
    <row r="7" spans="2:38" x14ac:dyDescent="0.2">
      <c r="B7" s="115" t="str">
        <f>Estimation!N268</f>
        <v>System Design, Framework and Test Cases</v>
      </c>
      <c r="E7" s="120"/>
      <c r="F7" s="120"/>
      <c r="G7" s="120"/>
      <c r="H7" s="120"/>
      <c r="I7" s="120"/>
    </row>
    <row r="8" spans="2:38" x14ac:dyDescent="0.2">
      <c r="B8" s="115" t="str">
        <f>Estimation!N269</f>
        <v>Development and Unit Testing</v>
      </c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</row>
    <row r="9" spans="2:38" x14ac:dyDescent="0.2">
      <c r="B9" s="115" t="str">
        <f>Estimation!N270</f>
        <v>System Testing and Stabilization</v>
      </c>
      <c r="Q9" s="122"/>
      <c r="R9" s="122"/>
      <c r="S9" s="122"/>
      <c r="T9" s="122"/>
      <c r="U9" s="122"/>
      <c r="V9" s="122"/>
      <c r="W9" s="122"/>
      <c r="X9" s="122"/>
    </row>
    <row r="10" spans="2:38" x14ac:dyDescent="0.2">
      <c r="B10" s="115" t="str">
        <f>Estimation!N271</f>
        <v>Deployment, UAT and Documentation</v>
      </c>
      <c r="W10" s="123"/>
      <c r="X10" s="123"/>
      <c r="Y10" s="123"/>
      <c r="Z10" s="123"/>
      <c r="AA10" s="123"/>
    </row>
    <row r="11" spans="2:38" x14ac:dyDescent="0.2">
      <c r="B11" s="115" t="str">
        <f>Estimation!N272</f>
        <v>Others</v>
      </c>
      <c r="AA11" s="91"/>
      <c r="AB11" s="91"/>
    </row>
    <row r="12" spans="2:38" x14ac:dyDescent="0.2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2">
      <c r="B13" s="115" t="s">
        <v>8</v>
      </c>
      <c r="C13" s="118">
        <v>1</v>
      </c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</row>
    <row r="14" spans="2:38" x14ac:dyDescent="0.2">
      <c r="B14" s="115" t="s">
        <v>9</v>
      </c>
      <c r="C14" s="118"/>
      <c r="D14" s="118">
        <v>1</v>
      </c>
      <c r="E14" s="118">
        <v>1</v>
      </c>
      <c r="F14" s="118">
        <v>1</v>
      </c>
      <c r="G14" s="118">
        <v>1</v>
      </c>
      <c r="H14" s="118">
        <v>1</v>
      </c>
      <c r="I14" s="118">
        <v>1</v>
      </c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</row>
    <row r="15" spans="2:38" x14ac:dyDescent="0.2">
      <c r="B15" s="115" t="s">
        <v>10</v>
      </c>
      <c r="C15" s="118"/>
      <c r="D15" s="118"/>
      <c r="E15" s="118">
        <v>1</v>
      </c>
      <c r="F15" s="118">
        <v>1</v>
      </c>
      <c r="G15" s="118">
        <v>1</v>
      </c>
      <c r="H15" s="118">
        <v>1</v>
      </c>
      <c r="I15" s="118">
        <v>1</v>
      </c>
      <c r="J15" s="118">
        <v>1</v>
      </c>
      <c r="K15" s="118">
        <v>1</v>
      </c>
      <c r="L15" s="118">
        <v>1</v>
      </c>
      <c r="M15" s="118">
        <v>1</v>
      </c>
      <c r="N15" s="118">
        <v>1</v>
      </c>
      <c r="O15" s="118">
        <v>1</v>
      </c>
      <c r="P15" s="118">
        <v>1</v>
      </c>
      <c r="Q15" s="118">
        <v>1</v>
      </c>
      <c r="R15" s="118">
        <v>1</v>
      </c>
      <c r="S15" s="118">
        <v>1</v>
      </c>
      <c r="T15" s="118">
        <v>1</v>
      </c>
      <c r="U15" s="118">
        <v>1</v>
      </c>
      <c r="V15" s="118">
        <v>1</v>
      </c>
      <c r="W15" s="118">
        <v>1</v>
      </c>
      <c r="X15" s="118">
        <v>1</v>
      </c>
      <c r="Y15" s="118">
        <v>1</v>
      </c>
      <c r="Z15" s="118">
        <v>1</v>
      </c>
      <c r="AA15" s="118">
        <v>1</v>
      </c>
      <c r="AB15" s="118">
        <v>1</v>
      </c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</row>
    <row r="16" spans="2:38" x14ac:dyDescent="0.2">
      <c r="B16" s="115" t="s">
        <v>12</v>
      </c>
      <c r="C16" s="118"/>
      <c r="D16" s="118"/>
      <c r="E16" s="118"/>
      <c r="F16" s="118"/>
      <c r="G16" s="118"/>
      <c r="H16" s="118">
        <v>2</v>
      </c>
      <c r="I16" s="118">
        <v>2</v>
      </c>
      <c r="J16" s="118">
        <v>2</v>
      </c>
      <c r="K16" s="118">
        <v>2</v>
      </c>
      <c r="L16" s="118">
        <v>2</v>
      </c>
      <c r="M16" s="118">
        <v>2</v>
      </c>
      <c r="N16" s="118">
        <v>2</v>
      </c>
      <c r="O16" s="118">
        <v>2</v>
      </c>
      <c r="P16" s="118">
        <v>2</v>
      </c>
      <c r="Q16" s="118">
        <v>2</v>
      </c>
      <c r="R16" s="118">
        <v>2</v>
      </c>
      <c r="S16" s="118">
        <v>2</v>
      </c>
      <c r="T16" s="118">
        <v>2</v>
      </c>
      <c r="U16" s="118">
        <v>2</v>
      </c>
      <c r="V16" s="118">
        <v>2</v>
      </c>
      <c r="W16" s="118">
        <v>2</v>
      </c>
      <c r="X16" s="118">
        <v>2</v>
      </c>
      <c r="Y16" s="118">
        <v>2</v>
      </c>
      <c r="Z16" s="118">
        <v>2</v>
      </c>
      <c r="AA16" s="118">
        <v>2</v>
      </c>
      <c r="AB16" s="118">
        <v>2</v>
      </c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</row>
    <row r="17" spans="2:38" x14ac:dyDescent="0.2">
      <c r="B17" s="115" t="s">
        <v>11</v>
      </c>
      <c r="C17" s="118"/>
      <c r="D17" s="118"/>
      <c r="E17" s="118"/>
      <c r="F17" s="118"/>
      <c r="G17" s="118"/>
      <c r="H17" s="118">
        <v>1</v>
      </c>
      <c r="I17" s="118">
        <v>1</v>
      </c>
      <c r="J17" s="118"/>
      <c r="K17" s="118"/>
      <c r="L17" s="118"/>
      <c r="M17" s="118"/>
      <c r="N17" s="118"/>
      <c r="O17" s="118"/>
      <c r="P17" s="118"/>
      <c r="Q17" s="118">
        <v>1</v>
      </c>
      <c r="R17" s="118">
        <v>1</v>
      </c>
      <c r="S17" s="118">
        <v>1</v>
      </c>
      <c r="T17" s="118">
        <v>1</v>
      </c>
      <c r="U17" s="118">
        <v>1</v>
      </c>
      <c r="V17" s="118">
        <v>1</v>
      </c>
      <c r="W17" s="118">
        <v>1</v>
      </c>
      <c r="X17" s="118">
        <v>1</v>
      </c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</row>
    <row r="18" spans="2:38" x14ac:dyDescent="0.2">
      <c r="B18" s="115" t="s">
        <v>13</v>
      </c>
      <c r="C18" s="118">
        <v>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2"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baseColWidth="10" defaultColWidth="2.83203125" defaultRowHeight="15" x14ac:dyDescent="0.2"/>
  <cols>
    <col min="1" max="16384" width="2.83203125" style="160"/>
  </cols>
  <sheetData>
    <row r="2" spans="2:58" ht="29" x14ac:dyDescent="0.2">
      <c r="B2" s="159" t="str">
        <f>TEMPLATE_NAME&amp;" "&amp;TEMPLATE_VER&amp;" - HELP"</f>
        <v>AG Estimation Template -  Version 2.0.4 - HELP</v>
      </c>
    </row>
    <row r="4" spans="2:58" x14ac:dyDescent="0.2">
      <c r="B4" s="160" t="s">
        <v>176</v>
      </c>
    </row>
    <row r="5" spans="2:58" x14ac:dyDescent="0.2">
      <c r="B5" s="190" t="s">
        <v>177</v>
      </c>
      <c r="D5" s="160" t="s">
        <v>178</v>
      </c>
    </row>
    <row r="6" spans="2:58" x14ac:dyDescent="0.2">
      <c r="B6" s="190" t="s">
        <v>177</v>
      </c>
      <c r="D6" s="160" t="s">
        <v>179</v>
      </c>
    </row>
    <row r="7" spans="2:58" x14ac:dyDescent="0.2">
      <c r="B7" s="190" t="s">
        <v>177</v>
      </c>
      <c r="D7" s="160" t="s">
        <v>180</v>
      </c>
    </row>
    <row r="8" spans="2:58" x14ac:dyDescent="0.2">
      <c r="B8" s="190" t="s">
        <v>177</v>
      </c>
      <c r="D8" s="160" t="s">
        <v>181</v>
      </c>
    </row>
    <row r="9" spans="2:58" x14ac:dyDescent="0.2">
      <c r="B9" s="190" t="s">
        <v>177</v>
      </c>
      <c r="D9" s="160" t="s">
        <v>182</v>
      </c>
    </row>
    <row r="10" spans="2:58" x14ac:dyDescent="0.2">
      <c r="B10" s="190" t="s">
        <v>177</v>
      </c>
      <c r="D10" s="160" t="s">
        <v>183</v>
      </c>
    </row>
    <row r="11" spans="2:58" x14ac:dyDescent="0.2">
      <c r="B11" s="190" t="s">
        <v>177</v>
      </c>
      <c r="D11" s="160" t="s">
        <v>184</v>
      </c>
    </row>
    <row r="13" spans="2:58" x14ac:dyDescent="0.2">
      <c r="B13" s="319" t="s">
        <v>263</v>
      </c>
      <c r="C13" s="319"/>
      <c r="D13" s="319"/>
      <c r="E13" s="319"/>
      <c r="F13" s="319"/>
      <c r="G13" s="319"/>
      <c r="H13" s="319"/>
      <c r="I13" s="319"/>
      <c r="J13" s="319"/>
      <c r="N13" s="214" t="s">
        <v>424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425</v>
      </c>
      <c r="AW13" s="213"/>
      <c r="AX13" s="214" t="s">
        <v>426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2">
      <c r="B14" s="319"/>
      <c r="C14" s="319"/>
      <c r="D14" s="319"/>
      <c r="E14" s="319"/>
      <c r="F14" s="319"/>
      <c r="G14" s="319"/>
      <c r="H14" s="319"/>
      <c r="I14" s="319"/>
      <c r="J14" s="319"/>
      <c r="N14" s="214" t="s">
        <v>427</v>
      </c>
      <c r="S14" s="214" t="s">
        <v>428</v>
      </c>
      <c r="AH14" s="218" t="s">
        <v>429</v>
      </c>
    </row>
    <row r="15" spans="2:58" ht="15" customHeight="1" x14ac:dyDescent="0.2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2">
      <c r="H16" s="318" t="s">
        <v>195</v>
      </c>
      <c r="I16" s="318"/>
      <c r="J16" s="318"/>
      <c r="K16" s="318"/>
      <c r="L16" s="318"/>
      <c r="M16" s="318"/>
      <c r="N16" s="318"/>
      <c r="O16" s="318"/>
      <c r="P16" s="318"/>
      <c r="Q16" s="318"/>
      <c r="R16" s="318"/>
      <c r="S16" s="318"/>
      <c r="T16" s="318"/>
      <c r="U16" s="318"/>
      <c r="V16" s="318"/>
      <c r="AL16" s="318" t="s">
        <v>245</v>
      </c>
      <c r="AM16" s="318"/>
      <c r="AN16" s="318"/>
      <c r="AO16" s="318"/>
      <c r="AP16" s="318"/>
      <c r="AQ16" s="318"/>
      <c r="AR16" s="318"/>
      <c r="AS16" s="318"/>
      <c r="AT16" s="318"/>
      <c r="AU16" s="318"/>
      <c r="AV16" s="318"/>
      <c r="AW16" s="318"/>
      <c r="AX16" s="318"/>
      <c r="AY16" s="318"/>
      <c r="AZ16" s="318"/>
      <c r="BA16" s="318"/>
      <c r="BB16" s="318"/>
      <c r="BC16" s="318"/>
      <c r="BD16" s="318"/>
    </row>
    <row r="17" spans="2:56" ht="15" customHeight="1" x14ac:dyDescent="0.2">
      <c r="H17" s="318"/>
      <c r="I17" s="318"/>
      <c r="J17" s="318"/>
      <c r="K17" s="318"/>
      <c r="L17" s="318"/>
      <c r="M17" s="318"/>
      <c r="N17" s="318"/>
      <c r="O17" s="318"/>
      <c r="P17" s="318"/>
      <c r="Q17" s="318"/>
      <c r="R17" s="318"/>
      <c r="S17" s="318"/>
      <c r="T17" s="318"/>
      <c r="U17" s="318"/>
      <c r="V17" s="318"/>
      <c r="AL17" s="318"/>
      <c r="AM17" s="318"/>
      <c r="AN17" s="318"/>
      <c r="AO17" s="318"/>
      <c r="AP17" s="318"/>
      <c r="AQ17" s="318"/>
      <c r="AR17" s="318"/>
      <c r="AS17" s="318"/>
      <c r="AT17" s="318"/>
      <c r="AU17" s="318"/>
      <c r="AV17" s="318"/>
      <c r="AW17" s="318"/>
      <c r="AX17" s="318"/>
      <c r="AY17" s="318"/>
      <c r="AZ17" s="318"/>
      <c r="BA17" s="318"/>
      <c r="BB17" s="318"/>
      <c r="BC17" s="318"/>
      <c r="BD17" s="318"/>
    </row>
    <row r="18" spans="2:56" x14ac:dyDescent="0.2">
      <c r="H18" s="160" t="s">
        <v>196</v>
      </c>
      <c r="AL18" s="160" t="s">
        <v>200</v>
      </c>
    </row>
    <row r="19" spans="2:56" x14ac:dyDescent="0.2">
      <c r="H19" s="160" t="s">
        <v>197</v>
      </c>
      <c r="AL19" s="160" t="s">
        <v>201</v>
      </c>
    </row>
    <row r="20" spans="2:56" x14ac:dyDescent="0.2">
      <c r="H20" s="160" t="s">
        <v>198</v>
      </c>
      <c r="AL20" s="160" t="s">
        <v>202</v>
      </c>
    </row>
    <row r="21" spans="2:56" x14ac:dyDescent="0.2">
      <c r="H21" s="160" t="s">
        <v>199</v>
      </c>
    </row>
    <row r="22" spans="2:56" x14ac:dyDescent="0.2">
      <c r="H22" s="160" t="s">
        <v>205</v>
      </c>
      <c r="O22"/>
      <c r="AL22" s="160" t="s">
        <v>203</v>
      </c>
    </row>
    <row r="23" spans="2:56" x14ac:dyDescent="0.2">
      <c r="H23" s="160" t="s">
        <v>206</v>
      </c>
      <c r="AL23" s="160" t="s">
        <v>204</v>
      </c>
    </row>
    <row r="29" spans="2:56" x14ac:dyDescent="0.2">
      <c r="B29" s="318" t="s">
        <v>207</v>
      </c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8"/>
    </row>
    <row r="30" spans="2:56" x14ac:dyDescent="0.2">
      <c r="B30" s="318"/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</row>
    <row r="31" spans="2:56" x14ac:dyDescent="0.2">
      <c r="B31" s="160" t="s">
        <v>431</v>
      </c>
    </row>
    <row r="32" spans="2:56" x14ac:dyDescent="0.2">
      <c r="B32" s="160" t="s">
        <v>432</v>
      </c>
    </row>
    <row r="33" spans="2:31" x14ac:dyDescent="0.2">
      <c r="B33" s="160" t="s">
        <v>433</v>
      </c>
    </row>
    <row r="34" spans="2:31" x14ac:dyDescent="0.2">
      <c r="B34" s="160" t="s">
        <v>434</v>
      </c>
    </row>
    <row r="35" spans="2:31" x14ac:dyDescent="0.2">
      <c r="B35" s="160" t="s">
        <v>435</v>
      </c>
    </row>
    <row r="36" spans="2:31" x14ac:dyDescent="0.2">
      <c r="B36" s="160" t="s">
        <v>436</v>
      </c>
    </row>
    <row r="41" spans="2:31" x14ac:dyDescent="0.2">
      <c r="B41" s="318" t="s">
        <v>208</v>
      </c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</row>
    <row r="42" spans="2:31" x14ac:dyDescent="0.2">
      <c r="B42" s="318"/>
      <c r="C42" s="318"/>
      <c r="D42" s="318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AE42" s="160" t="s">
        <v>214</v>
      </c>
    </row>
    <row r="43" spans="2:31" x14ac:dyDescent="0.2">
      <c r="B43" s="160" t="s">
        <v>210</v>
      </c>
      <c r="AE43" s="160" t="s">
        <v>213</v>
      </c>
    </row>
    <row r="44" spans="2:31" x14ac:dyDescent="0.2">
      <c r="B44" s="160" t="s">
        <v>209</v>
      </c>
      <c r="AE44" s="160" t="s">
        <v>215</v>
      </c>
    </row>
    <row r="46" spans="2:31" x14ac:dyDescent="0.2">
      <c r="B46" s="160" t="s">
        <v>211</v>
      </c>
      <c r="AE46" s="160" t="s">
        <v>216</v>
      </c>
    </row>
    <row r="47" spans="2:31" x14ac:dyDescent="0.2">
      <c r="B47" s="160" t="s">
        <v>212</v>
      </c>
      <c r="AE47" s="160" t="s">
        <v>217</v>
      </c>
    </row>
    <row r="49" spans="2:14" x14ac:dyDescent="0.2">
      <c r="B49" s="318" t="s">
        <v>224</v>
      </c>
      <c r="C49" s="318"/>
      <c r="D49" s="318"/>
      <c r="E49" s="318"/>
      <c r="F49" s="318"/>
      <c r="G49" s="318"/>
      <c r="H49" s="318"/>
      <c r="I49" s="318"/>
      <c r="J49" s="318"/>
      <c r="K49" s="318"/>
      <c r="L49" s="318"/>
      <c r="M49" s="318"/>
      <c r="N49" s="318"/>
    </row>
    <row r="50" spans="2:14" x14ac:dyDescent="0.2">
      <c r="B50" s="318"/>
      <c r="C50" s="318"/>
      <c r="D50" s="318"/>
      <c r="E50" s="318"/>
      <c r="F50" s="318"/>
      <c r="G50" s="318"/>
      <c r="H50" s="318"/>
      <c r="I50" s="318"/>
      <c r="J50" s="318"/>
      <c r="K50" s="318"/>
      <c r="L50" s="318"/>
      <c r="M50" s="318"/>
      <c r="N50" s="318"/>
    </row>
    <row r="51" spans="2:14" x14ac:dyDescent="0.2">
      <c r="B51" s="160" t="s">
        <v>218</v>
      </c>
    </row>
    <row r="52" spans="2:14" x14ac:dyDescent="0.2">
      <c r="B52" s="160" t="s">
        <v>219</v>
      </c>
    </row>
    <row r="54" spans="2:14" x14ac:dyDescent="0.2">
      <c r="B54" s="160" t="s">
        <v>220</v>
      </c>
    </row>
    <row r="55" spans="2:14" x14ac:dyDescent="0.2">
      <c r="B55" s="160" t="s">
        <v>221</v>
      </c>
    </row>
    <row r="56" spans="2:14" x14ac:dyDescent="0.2">
      <c r="B56" s="160" t="s">
        <v>222</v>
      </c>
    </row>
    <row r="57" spans="2:14" x14ac:dyDescent="0.2">
      <c r="B57" s="160" t="s">
        <v>223</v>
      </c>
    </row>
    <row r="71" spans="2:16" x14ac:dyDescent="0.2">
      <c r="B71" s="318" t="s">
        <v>225</v>
      </c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</row>
    <row r="72" spans="2:16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</row>
    <row r="73" spans="2:16" x14ac:dyDescent="0.2">
      <c r="B73" s="160" t="s">
        <v>226</v>
      </c>
    </row>
    <row r="74" spans="2:16" x14ac:dyDescent="0.2">
      <c r="B74" s="160" t="s">
        <v>228</v>
      </c>
    </row>
    <row r="75" spans="2:16" x14ac:dyDescent="0.2">
      <c r="B75" s="160" t="s">
        <v>227</v>
      </c>
    </row>
    <row r="79" spans="2:16" x14ac:dyDescent="0.2">
      <c r="B79" s="160" t="s">
        <v>229</v>
      </c>
    </row>
    <row r="80" spans="2:16" x14ac:dyDescent="0.2">
      <c r="B80" s="160" t="s">
        <v>230</v>
      </c>
    </row>
    <row r="83" spans="3:69" ht="15" customHeight="1" x14ac:dyDescent="0.2">
      <c r="BG83" s="198" t="s">
        <v>233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2">
      <c r="C84" s="318" t="s">
        <v>234</v>
      </c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AZ84" s="198"/>
      <c r="BA84" s="198"/>
      <c r="BB84" s="198"/>
      <c r="BC84" s="198"/>
      <c r="BD84" s="198"/>
      <c r="BF84" s="198"/>
      <c r="BG84" s="197" t="s">
        <v>231</v>
      </c>
      <c r="BH84" s="198"/>
      <c r="BI84" s="198"/>
      <c r="BJ84" s="198"/>
    </row>
    <row r="85" spans="3:69" ht="19" x14ac:dyDescent="0.2"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AY85" s="198"/>
      <c r="AZ85" s="198"/>
      <c r="BA85" s="198"/>
      <c r="BB85" s="198"/>
      <c r="BC85" s="198"/>
      <c r="BD85" s="198"/>
      <c r="BF85" s="198"/>
      <c r="BG85" s="197" t="s">
        <v>232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2">
      <c r="C86" s="160" t="s">
        <v>235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2">
      <c r="C87" s="160" t="s">
        <v>236</v>
      </c>
    </row>
    <row r="93" spans="3:69" x14ac:dyDescent="0.2">
      <c r="AE93" s="318" t="s">
        <v>237</v>
      </c>
      <c r="AF93" s="318"/>
      <c r="AG93" s="318"/>
      <c r="AH93" s="318"/>
      <c r="AI93" s="318"/>
      <c r="AJ93" s="318"/>
      <c r="AK93" s="318"/>
      <c r="AL93" s="318"/>
      <c r="AM93" s="318"/>
      <c r="AN93" s="318"/>
      <c r="AO93" s="318"/>
      <c r="AP93" s="318"/>
      <c r="AQ93" s="318"/>
      <c r="AR93" s="318"/>
      <c r="AS93" s="318"/>
      <c r="AT93" s="318"/>
      <c r="AU93" s="318"/>
      <c r="AV93" s="318"/>
      <c r="AW93" s="318"/>
      <c r="AX93" s="318"/>
      <c r="AY93" s="318"/>
    </row>
    <row r="94" spans="3:69" x14ac:dyDescent="0.2">
      <c r="AE94" s="318"/>
      <c r="AF94" s="318"/>
      <c r="AG94" s="318"/>
      <c r="AH94" s="318"/>
      <c r="AI94" s="318"/>
      <c r="AJ94" s="318"/>
      <c r="AK94" s="318"/>
      <c r="AL94" s="318"/>
      <c r="AM94" s="318"/>
      <c r="AN94" s="318"/>
      <c r="AO94" s="318"/>
      <c r="AP94" s="318"/>
      <c r="AQ94" s="318"/>
      <c r="AR94" s="318"/>
      <c r="AS94" s="318"/>
      <c r="AT94" s="318"/>
      <c r="AU94" s="318"/>
      <c r="AV94" s="318"/>
      <c r="AW94" s="318"/>
      <c r="AX94" s="318"/>
      <c r="AY94" s="318"/>
    </row>
    <row r="95" spans="3:69" x14ac:dyDescent="0.2">
      <c r="AE95" s="160" t="s">
        <v>238</v>
      </c>
    </row>
    <row r="96" spans="3:69" ht="15" customHeight="1" x14ac:dyDescent="0.2">
      <c r="AE96" s="160" t="s">
        <v>239</v>
      </c>
    </row>
    <row r="97" spans="3:23" ht="15" customHeight="1" x14ac:dyDescent="0.2"/>
    <row r="104" spans="3:23" x14ac:dyDescent="0.2">
      <c r="C104" s="318" t="s">
        <v>240</v>
      </c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</row>
    <row r="105" spans="3:23" x14ac:dyDescent="0.2"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</row>
    <row r="111" spans="3:23" x14ac:dyDescent="0.2">
      <c r="C111" s="160" t="s">
        <v>241</v>
      </c>
    </row>
    <row r="112" spans="3:23" x14ac:dyDescent="0.2">
      <c r="C112" s="160" t="s">
        <v>242</v>
      </c>
    </row>
    <row r="114" spans="3:52" x14ac:dyDescent="0.2">
      <c r="C114" s="160" t="s">
        <v>243</v>
      </c>
      <c r="AF114" s="318" t="s">
        <v>246</v>
      </c>
      <c r="AG114" s="318"/>
      <c r="AH114" s="318"/>
      <c r="AI114" s="318"/>
      <c r="AJ114" s="318"/>
      <c r="AK114" s="318"/>
      <c r="AL114" s="318"/>
      <c r="AM114" s="318"/>
      <c r="AN114" s="318"/>
      <c r="AO114" s="318"/>
      <c r="AP114" s="318"/>
      <c r="AQ114" s="318"/>
      <c r="AR114" s="318"/>
      <c r="AS114" s="318"/>
      <c r="AT114" s="318"/>
      <c r="AU114" s="318"/>
      <c r="AV114" s="318"/>
      <c r="AW114" s="318"/>
      <c r="AX114" s="318"/>
      <c r="AY114" s="318"/>
      <c r="AZ114" s="318"/>
    </row>
    <row r="115" spans="3:52" x14ac:dyDescent="0.2">
      <c r="C115" s="160" t="s">
        <v>244</v>
      </c>
      <c r="AF115" s="318"/>
      <c r="AG115" s="318"/>
      <c r="AH115" s="318"/>
      <c r="AI115" s="318"/>
      <c r="AJ115" s="318"/>
      <c r="AK115" s="318"/>
      <c r="AL115" s="318"/>
      <c r="AM115" s="318"/>
      <c r="AN115" s="318"/>
      <c r="AO115" s="318"/>
      <c r="AP115" s="318"/>
      <c r="AQ115" s="318"/>
      <c r="AR115" s="318"/>
      <c r="AS115" s="318"/>
      <c r="AT115" s="318"/>
      <c r="AU115" s="318"/>
      <c r="AV115" s="318"/>
      <c r="AW115" s="318"/>
      <c r="AX115" s="318"/>
      <c r="AY115" s="318"/>
      <c r="AZ115" s="318"/>
    </row>
    <row r="116" spans="3:52" x14ac:dyDescent="0.2">
      <c r="AF116" s="160" t="s">
        <v>252</v>
      </c>
    </row>
    <row r="117" spans="3:52" x14ac:dyDescent="0.2">
      <c r="AF117" s="160" t="s">
        <v>251</v>
      </c>
    </row>
    <row r="121" spans="3:52" x14ac:dyDescent="0.2">
      <c r="V121" s="318" t="s">
        <v>247</v>
      </c>
      <c r="W121" s="318"/>
      <c r="X121" s="318"/>
      <c r="Y121" s="318"/>
      <c r="Z121" s="318"/>
      <c r="AA121" s="318"/>
      <c r="AB121" s="318"/>
      <c r="AC121" s="318"/>
      <c r="AD121" s="318"/>
      <c r="AE121" s="318"/>
      <c r="AF121" s="318"/>
      <c r="AG121" s="318"/>
      <c r="AH121" s="318"/>
      <c r="AI121" s="318"/>
      <c r="AJ121" s="318"/>
      <c r="AK121" s="318"/>
      <c r="AL121" s="318"/>
      <c r="AM121" s="318"/>
      <c r="AN121" s="318"/>
      <c r="AO121" s="318"/>
      <c r="AP121" s="318"/>
    </row>
    <row r="122" spans="3:52" x14ac:dyDescent="0.2">
      <c r="V122" s="318"/>
      <c r="W122" s="318"/>
      <c r="X122" s="318"/>
      <c r="Y122" s="318"/>
      <c r="Z122" s="318"/>
      <c r="AA122" s="318"/>
      <c r="AB122" s="318"/>
      <c r="AC122" s="318"/>
      <c r="AD122" s="318"/>
      <c r="AE122" s="318"/>
      <c r="AF122" s="318"/>
      <c r="AG122" s="318"/>
      <c r="AH122" s="318"/>
      <c r="AI122" s="318"/>
      <c r="AJ122" s="318"/>
      <c r="AK122" s="318"/>
      <c r="AL122" s="318"/>
      <c r="AM122" s="318"/>
      <c r="AN122" s="318"/>
      <c r="AO122" s="318"/>
      <c r="AP122" s="318"/>
    </row>
    <row r="123" spans="3:52" x14ac:dyDescent="0.2">
      <c r="S123" s="160" t="s">
        <v>248</v>
      </c>
    </row>
    <row r="124" spans="3:52" x14ac:dyDescent="0.2">
      <c r="S124" s="160" t="s">
        <v>249</v>
      </c>
    </row>
    <row r="126" spans="3:52" x14ac:dyDescent="0.2">
      <c r="S126" s="160" t="s">
        <v>250</v>
      </c>
    </row>
    <row r="130" spans="4:26" x14ac:dyDescent="0.2">
      <c r="F130" s="318" t="s">
        <v>253</v>
      </c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</row>
    <row r="131" spans="4:26" x14ac:dyDescent="0.2"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</row>
    <row r="132" spans="4:26" x14ac:dyDescent="0.2">
      <c r="F132" s="160" t="s">
        <v>254</v>
      </c>
    </row>
    <row r="133" spans="4:26" x14ac:dyDescent="0.2">
      <c r="F133" s="160" t="s">
        <v>255</v>
      </c>
    </row>
    <row r="143" spans="4:26" x14ac:dyDescent="0.2">
      <c r="D143" s="318" t="s">
        <v>256</v>
      </c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</row>
    <row r="144" spans="4:26" x14ac:dyDescent="0.2"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</row>
    <row r="145" spans="4:24" x14ac:dyDescent="0.2">
      <c r="D145" s="160" t="s">
        <v>257</v>
      </c>
    </row>
    <row r="146" spans="4:24" x14ac:dyDescent="0.2">
      <c r="D146" s="160" t="s">
        <v>258</v>
      </c>
    </row>
    <row r="148" spans="4:24" x14ac:dyDescent="0.2">
      <c r="D148" s="160" t="s">
        <v>259</v>
      </c>
    </row>
    <row r="149" spans="4:24" x14ac:dyDescent="0.2">
      <c r="D149" s="160" t="s">
        <v>260</v>
      </c>
    </row>
    <row r="152" spans="4:24" x14ac:dyDescent="0.2">
      <c r="D152" s="318" t="s">
        <v>261</v>
      </c>
      <c r="E152" s="318"/>
      <c r="F152" s="318"/>
      <c r="G152" s="318"/>
      <c r="H152" s="318"/>
      <c r="I152" s="318"/>
      <c r="J152" s="318"/>
      <c r="K152" s="318"/>
      <c r="L152" s="318"/>
      <c r="M152" s="318"/>
      <c r="N152" s="318"/>
      <c r="O152" s="318"/>
      <c r="P152" s="318"/>
      <c r="Q152" s="318"/>
      <c r="R152" s="318"/>
      <c r="S152" s="318"/>
      <c r="T152" s="318"/>
      <c r="U152" s="318"/>
      <c r="V152" s="318"/>
      <c r="W152" s="318"/>
      <c r="X152" s="318"/>
    </row>
    <row r="153" spans="4:24" x14ac:dyDescent="0.2">
      <c r="D153" s="318"/>
      <c r="E153" s="318"/>
      <c r="F153" s="318"/>
      <c r="G153" s="318"/>
      <c r="H153" s="318"/>
      <c r="I153" s="318"/>
      <c r="J153" s="318"/>
      <c r="K153" s="318"/>
      <c r="L153" s="318"/>
      <c r="M153" s="318"/>
      <c r="N153" s="318"/>
      <c r="O153" s="318"/>
      <c r="P153" s="318"/>
      <c r="Q153" s="318"/>
      <c r="R153" s="318"/>
      <c r="S153" s="318"/>
      <c r="T153" s="318"/>
      <c r="U153" s="318"/>
      <c r="V153" s="318"/>
      <c r="W153" s="318"/>
      <c r="X153" s="318"/>
    </row>
    <row r="154" spans="4:24" x14ac:dyDescent="0.2">
      <c r="G154" s="160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baseColWidth="10" defaultColWidth="3.83203125" defaultRowHeight="15" x14ac:dyDescent="0.2"/>
  <cols>
    <col min="1" max="1" width="2.83203125" customWidth="1"/>
    <col min="2" max="2" width="4.5" bestFit="1" customWidth="1"/>
  </cols>
  <sheetData>
    <row r="2" spans="2:4" ht="29" x14ac:dyDescent="0.2">
      <c r="B2" s="159" t="str">
        <f>TEMPLATE_NAME&amp;" "&amp;TEMPLATE_VER&amp;" - FAQs"</f>
        <v>AG Estimation Template -  Version 2.0.4 - FAQs</v>
      </c>
    </row>
    <row r="4" spans="2:4" ht="19" x14ac:dyDescent="0.25">
      <c r="B4" s="212" t="s">
        <v>409</v>
      </c>
    </row>
    <row r="6" spans="2:4" s="209" customFormat="1" ht="21" x14ac:dyDescent="0.25">
      <c r="B6" s="208">
        <v>1</v>
      </c>
      <c r="C6" s="208" t="s">
        <v>421</v>
      </c>
    </row>
    <row r="7" spans="2:4" x14ac:dyDescent="0.2">
      <c r="D7" t="s">
        <v>422</v>
      </c>
    </row>
    <row r="8" spans="2:4" x14ac:dyDescent="0.2">
      <c r="D8" t="s">
        <v>423</v>
      </c>
    </row>
    <row r="10" spans="2:4" s="209" customFormat="1" ht="21" x14ac:dyDescent="0.25">
      <c r="B10" s="208">
        <v>2</v>
      </c>
      <c r="C10" s="208" t="s">
        <v>264</v>
      </c>
    </row>
    <row r="11" spans="2:4" x14ac:dyDescent="0.2">
      <c r="D11" t="s">
        <v>437</v>
      </c>
    </row>
    <row r="12" spans="2:4" x14ac:dyDescent="0.2">
      <c r="D12" t="s">
        <v>438</v>
      </c>
    </row>
    <row r="14" spans="2:4" s="209" customFormat="1" ht="21" x14ac:dyDescent="0.25">
      <c r="B14" s="208">
        <v>3</v>
      </c>
      <c r="C14" s="208" t="s">
        <v>265</v>
      </c>
    </row>
    <row r="15" spans="2:4" x14ac:dyDescent="0.2">
      <c r="D15" t="s">
        <v>439</v>
      </c>
    </row>
    <row r="17" spans="2:4" s="209" customFormat="1" ht="21" x14ac:dyDescent="0.25">
      <c r="B17" s="208">
        <v>4</v>
      </c>
      <c r="C17" s="208" t="s">
        <v>266</v>
      </c>
    </row>
    <row r="18" spans="2:4" x14ac:dyDescent="0.2">
      <c r="D18" t="s">
        <v>267</v>
      </c>
    </row>
    <row r="19" spans="2:4" x14ac:dyDescent="0.2">
      <c r="D19" t="s">
        <v>268</v>
      </c>
    </row>
    <row r="20" spans="2:4" x14ac:dyDescent="0.2">
      <c r="D20" t="s">
        <v>269</v>
      </c>
    </row>
    <row r="22" spans="2:4" s="209" customFormat="1" ht="21" x14ac:dyDescent="0.25">
      <c r="B22" s="208">
        <v>5</v>
      </c>
      <c r="C22" s="208" t="s">
        <v>270</v>
      </c>
    </row>
    <row r="23" spans="2:4" x14ac:dyDescent="0.2">
      <c r="D23" t="s">
        <v>271</v>
      </c>
    </row>
    <row r="24" spans="2:4" x14ac:dyDescent="0.2">
      <c r="D24" t="s">
        <v>440</v>
      </c>
    </row>
    <row r="25" spans="2:4" x14ac:dyDescent="0.2">
      <c r="D25" t="s">
        <v>272</v>
      </c>
    </row>
    <row r="27" spans="2:4" s="209" customFormat="1" ht="21" x14ac:dyDescent="0.25">
      <c r="B27" s="208">
        <v>6</v>
      </c>
      <c r="C27" s="208" t="s">
        <v>273</v>
      </c>
    </row>
    <row r="28" spans="2:4" x14ac:dyDescent="0.2">
      <c r="D28" t="s">
        <v>274</v>
      </c>
    </row>
    <row r="30" spans="2:4" s="209" customFormat="1" ht="21" x14ac:dyDescent="0.25">
      <c r="B30" s="208">
        <v>7</v>
      </c>
      <c r="C30" s="208" t="s">
        <v>277</v>
      </c>
    </row>
    <row r="31" spans="2:4" x14ac:dyDescent="0.2">
      <c r="D31" t="s">
        <v>278</v>
      </c>
    </row>
    <row r="33" spans="2:9" s="209" customFormat="1" ht="21" x14ac:dyDescent="0.25">
      <c r="B33" s="208">
        <v>8</v>
      </c>
      <c r="C33" s="208" t="s">
        <v>282</v>
      </c>
    </row>
    <row r="34" spans="2:9" x14ac:dyDescent="0.2">
      <c r="D34" t="s">
        <v>283</v>
      </c>
    </row>
    <row r="35" spans="2:9" x14ac:dyDescent="0.2">
      <c r="D35" t="s">
        <v>284</v>
      </c>
    </row>
    <row r="37" spans="2:9" s="209" customFormat="1" ht="21" x14ac:dyDescent="0.25">
      <c r="B37" s="208">
        <v>9</v>
      </c>
      <c r="C37" s="208" t="s">
        <v>279</v>
      </c>
    </row>
    <row r="38" spans="2:9" x14ac:dyDescent="0.2">
      <c r="D38" t="s">
        <v>280</v>
      </c>
    </row>
    <row r="39" spans="2:9" x14ac:dyDescent="0.2">
      <c r="F39" s="201" t="s">
        <v>281</v>
      </c>
      <c r="G39" t="s">
        <v>286</v>
      </c>
    </row>
    <row r="40" spans="2:9" x14ac:dyDescent="0.2">
      <c r="F40" s="201" t="s">
        <v>285</v>
      </c>
      <c r="G40" t="s">
        <v>287</v>
      </c>
    </row>
    <row r="41" spans="2:9" x14ac:dyDescent="0.2">
      <c r="F41" s="201" t="s">
        <v>288</v>
      </c>
      <c r="G41" t="s">
        <v>289</v>
      </c>
    </row>
    <row r="42" spans="2:9" x14ac:dyDescent="0.2">
      <c r="F42" s="201" t="s">
        <v>290</v>
      </c>
      <c r="G42" t="s">
        <v>291</v>
      </c>
    </row>
    <row r="43" spans="2:9" x14ac:dyDescent="0.2">
      <c r="G43" s="201" t="s">
        <v>292</v>
      </c>
      <c r="H43" t="s">
        <v>294</v>
      </c>
    </row>
    <row r="44" spans="2:9" x14ac:dyDescent="0.2">
      <c r="G44" s="201" t="s">
        <v>293</v>
      </c>
      <c r="H44" t="s">
        <v>295</v>
      </c>
    </row>
    <row r="45" spans="2:9" x14ac:dyDescent="0.2">
      <c r="G45" s="1" t="s">
        <v>296</v>
      </c>
      <c r="H45" t="s">
        <v>297</v>
      </c>
    </row>
    <row r="46" spans="2:9" x14ac:dyDescent="0.2">
      <c r="I46" t="s">
        <v>298</v>
      </c>
    </row>
    <row r="47" spans="2:9" x14ac:dyDescent="0.2">
      <c r="G47" s="201" t="s">
        <v>299</v>
      </c>
      <c r="H47" t="s">
        <v>300</v>
      </c>
    </row>
    <row r="48" spans="2:9" x14ac:dyDescent="0.2">
      <c r="I48" t="s">
        <v>301</v>
      </c>
    </row>
    <row r="49" spans="2:20" x14ac:dyDescent="0.2">
      <c r="G49" s="201" t="s">
        <v>302</v>
      </c>
      <c r="H49" t="s">
        <v>303</v>
      </c>
    </row>
    <row r="50" spans="2:20" x14ac:dyDescent="0.2">
      <c r="D50" s="320" t="s">
        <v>446</v>
      </c>
      <c r="E50" s="320"/>
      <c r="F50" s="320"/>
      <c r="G50" s="320"/>
      <c r="H50" t="s">
        <v>447</v>
      </c>
    </row>
    <row r="51" spans="2:20" x14ac:dyDescent="0.2">
      <c r="D51" s="320"/>
      <c r="E51" s="320"/>
      <c r="F51" s="320"/>
      <c r="G51" s="320"/>
    </row>
    <row r="52" spans="2:20" x14ac:dyDescent="0.2">
      <c r="D52" s="320"/>
      <c r="E52" s="320"/>
      <c r="F52" s="320"/>
      <c r="G52" s="320"/>
    </row>
    <row r="54" spans="2:20" s="209" customFormat="1" ht="21" x14ac:dyDescent="0.25">
      <c r="B54" s="208">
        <v>10</v>
      </c>
      <c r="C54" s="208" t="s">
        <v>304</v>
      </c>
    </row>
    <row r="55" spans="2:20" x14ac:dyDescent="0.2">
      <c r="D55" t="s">
        <v>305</v>
      </c>
    </row>
    <row r="56" spans="2:20" x14ac:dyDescent="0.2">
      <c r="D56" t="s">
        <v>306</v>
      </c>
    </row>
    <row r="57" spans="2:20" x14ac:dyDescent="0.2">
      <c r="F57" s="201" t="s">
        <v>307</v>
      </c>
      <c r="G57" t="s">
        <v>308</v>
      </c>
    </row>
    <row r="58" spans="2:20" x14ac:dyDescent="0.2">
      <c r="H58" t="s">
        <v>309</v>
      </c>
    </row>
    <row r="59" spans="2:20" x14ac:dyDescent="0.2">
      <c r="I59" t="s">
        <v>311</v>
      </c>
      <c r="N59" t="s">
        <v>310</v>
      </c>
    </row>
    <row r="60" spans="2:20" x14ac:dyDescent="0.2">
      <c r="I60" t="s">
        <v>312</v>
      </c>
      <c r="N60" t="s">
        <v>313</v>
      </c>
      <c r="T60" t="s">
        <v>321</v>
      </c>
    </row>
    <row r="61" spans="2:20" x14ac:dyDescent="0.2">
      <c r="I61" t="s">
        <v>314</v>
      </c>
      <c r="N61" t="s">
        <v>315</v>
      </c>
      <c r="T61" t="s">
        <v>321</v>
      </c>
    </row>
    <row r="62" spans="2:20" x14ac:dyDescent="0.2">
      <c r="N62" t="s">
        <v>316</v>
      </c>
    </row>
    <row r="63" spans="2:20" x14ac:dyDescent="0.2">
      <c r="F63" s="201" t="s">
        <v>317</v>
      </c>
      <c r="G63" t="s">
        <v>318</v>
      </c>
    </row>
    <row r="64" spans="2:20" x14ac:dyDescent="0.2">
      <c r="F64" s="201" t="s">
        <v>322</v>
      </c>
      <c r="G64" t="s">
        <v>323</v>
      </c>
    </row>
    <row r="65" spans="2:30" x14ac:dyDescent="0.2">
      <c r="H65" t="s">
        <v>324</v>
      </c>
    </row>
    <row r="66" spans="2:30" x14ac:dyDescent="0.2">
      <c r="I66" t="s">
        <v>325</v>
      </c>
    </row>
    <row r="67" spans="2:30" x14ac:dyDescent="0.2">
      <c r="G67" t="s">
        <v>326</v>
      </c>
    </row>
    <row r="68" spans="2:30" x14ac:dyDescent="0.2">
      <c r="F68" s="201" t="s">
        <v>319</v>
      </c>
      <c r="G68" t="s">
        <v>320</v>
      </c>
      <c r="AD68" t="s">
        <v>321</v>
      </c>
    </row>
    <row r="69" spans="2:30" x14ac:dyDescent="0.2">
      <c r="H69" t="s">
        <v>342</v>
      </c>
    </row>
    <row r="71" spans="2:30" s="209" customFormat="1" ht="21" x14ac:dyDescent="0.25">
      <c r="B71" s="208">
        <v>11</v>
      </c>
      <c r="C71" s="208" t="s">
        <v>327</v>
      </c>
    </row>
    <row r="72" spans="2:30" x14ac:dyDescent="0.2">
      <c r="D72" t="s">
        <v>328</v>
      </c>
    </row>
    <row r="73" spans="2:30" x14ac:dyDescent="0.2">
      <c r="D73" t="s">
        <v>329</v>
      </c>
    </row>
    <row r="74" spans="2:30" x14ac:dyDescent="0.2">
      <c r="D74" t="s">
        <v>330</v>
      </c>
    </row>
    <row r="76" spans="2:30" s="209" customFormat="1" ht="21" x14ac:dyDescent="0.25">
      <c r="B76" s="208">
        <v>12</v>
      </c>
      <c r="C76" s="208" t="s">
        <v>331</v>
      </c>
    </row>
    <row r="77" spans="2:30" x14ac:dyDescent="0.2">
      <c r="D77" t="s">
        <v>332</v>
      </c>
    </row>
    <row r="78" spans="2:30" x14ac:dyDescent="0.2">
      <c r="D78" t="s">
        <v>333</v>
      </c>
    </row>
    <row r="79" spans="2:30" x14ac:dyDescent="0.2">
      <c r="E79" s="201" t="s">
        <v>334</v>
      </c>
      <c r="F79" t="s">
        <v>338</v>
      </c>
    </row>
    <row r="80" spans="2:30" x14ac:dyDescent="0.2">
      <c r="G80" t="s">
        <v>344</v>
      </c>
    </row>
    <row r="81" spans="2:7" x14ac:dyDescent="0.2">
      <c r="G81" t="s">
        <v>339</v>
      </c>
    </row>
    <row r="82" spans="2:7" x14ac:dyDescent="0.2">
      <c r="E82" s="201" t="s">
        <v>340</v>
      </c>
      <c r="F82" t="s">
        <v>341</v>
      </c>
    </row>
    <row r="83" spans="2:7" x14ac:dyDescent="0.2">
      <c r="G83" t="s">
        <v>343</v>
      </c>
    </row>
    <row r="85" spans="2:7" s="209" customFormat="1" ht="21" x14ac:dyDescent="0.25">
      <c r="B85" s="208">
        <v>13</v>
      </c>
      <c r="C85" s="208" t="s">
        <v>345</v>
      </c>
    </row>
    <row r="86" spans="2:7" x14ac:dyDescent="0.2">
      <c r="D86" t="s">
        <v>346</v>
      </c>
    </row>
    <row r="87" spans="2:7" x14ac:dyDescent="0.2">
      <c r="E87" s="201" t="s">
        <v>347</v>
      </c>
      <c r="F87" t="s">
        <v>350</v>
      </c>
    </row>
    <row r="88" spans="2:7" x14ac:dyDescent="0.2">
      <c r="E88" s="201"/>
      <c r="F88" t="s">
        <v>351</v>
      </c>
    </row>
    <row r="89" spans="2:7" x14ac:dyDescent="0.2">
      <c r="E89" s="201"/>
      <c r="F89" t="s">
        <v>352</v>
      </c>
    </row>
    <row r="90" spans="2:7" x14ac:dyDescent="0.2">
      <c r="E90" s="201"/>
      <c r="F90" t="s">
        <v>353</v>
      </c>
    </row>
    <row r="91" spans="2:7" x14ac:dyDescent="0.2">
      <c r="E91" s="201"/>
      <c r="F91" t="s">
        <v>354</v>
      </c>
    </row>
    <row r="92" spans="2:7" x14ac:dyDescent="0.2">
      <c r="E92" s="201" t="s">
        <v>348</v>
      </c>
      <c r="F92" t="s">
        <v>355</v>
      </c>
    </row>
    <row r="93" spans="2:7" x14ac:dyDescent="0.2">
      <c r="E93" s="201"/>
      <c r="F93" t="s">
        <v>356</v>
      </c>
    </row>
    <row r="94" spans="2:7" x14ac:dyDescent="0.2">
      <c r="E94" s="201" t="s">
        <v>349</v>
      </c>
      <c r="F94" t="s">
        <v>357</v>
      </c>
    </row>
    <row r="96" spans="2:7" s="209" customFormat="1" ht="21" x14ac:dyDescent="0.25">
      <c r="B96" s="208">
        <v>14</v>
      </c>
      <c r="C96" s="208" t="s">
        <v>417</v>
      </c>
    </row>
    <row r="97" spans="2:6" x14ac:dyDescent="0.2">
      <c r="D97" t="s">
        <v>358</v>
      </c>
    </row>
    <row r="98" spans="2:6" x14ac:dyDescent="0.2">
      <c r="E98" s="201" t="s">
        <v>359</v>
      </c>
      <c r="F98" t="s">
        <v>366</v>
      </c>
    </row>
    <row r="99" spans="2:6" x14ac:dyDescent="0.2">
      <c r="E99" s="201" t="s">
        <v>360</v>
      </c>
      <c r="F99" t="s">
        <v>367</v>
      </c>
    </row>
    <row r="100" spans="2:6" x14ac:dyDescent="0.2">
      <c r="E100" s="201" t="s">
        <v>361</v>
      </c>
      <c r="F100" t="s">
        <v>365</v>
      </c>
    </row>
    <row r="101" spans="2:6" x14ac:dyDescent="0.2">
      <c r="E101" s="201" t="s">
        <v>362</v>
      </c>
      <c r="F101" t="s">
        <v>364</v>
      </c>
    </row>
    <row r="102" spans="2:6" x14ac:dyDescent="0.2">
      <c r="E102" s="201" t="s">
        <v>363</v>
      </c>
      <c r="F102" t="s">
        <v>368</v>
      </c>
    </row>
    <row r="104" spans="2:6" s="209" customFormat="1" ht="21" x14ac:dyDescent="0.25">
      <c r="B104" s="208">
        <v>15</v>
      </c>
      <c r="C104" s="208" t="s">
        <v>335</v>
      </c>
    </row>
    <row r="105" spans="2:6" x14ac:dyDescent="0.2">
      <c r="D105" t="s">
        <v>336</v>
      </c>
    </row>
    <row r="106" spans="2:6" x14ac:dyDescent="0.2">
      <c r="D106" t="s">
        <v>337</v>
      </c>
    </row>
    <row r="108" spans="2:6" s="209" customFormat="1" ht="21" x14ac:dyDescent="0.25">
      <c r="B108" s="208">
        <v>16</v>
      </c>
      <c r="C108" s="208" t="s">
        <v>369</v>
      </c>
    </row>
    <row r="109" spans="2:6" x14ac:dyDescent="0.2">
      <c r="D109" t="s">
        <v>370</v>
      </c>
    </row>
    <row r="110" spans="2:6" x14ac:dyDescent="0.2">
      <c r="D110" t="s">
        <v>371</v>
      </c>
    </row>
    <row r="111" spans="2:6" x14ac:dyDescent="0.2">
      <c r="D111" t="s">
        <v>372</v>
      </c>
    </row>
    <row r="114" spans="2:6" ht="19" x14ac:dyDescent="0.25">
      <c r="B114" s="212" t="s">
        <v>410</v>
      </c>
    </row>
    <row r="116" spans="2:6" s="209" customFormat="1" ht="21" x14ac:dyDescent="0.25">
      <c r="B116" s="207">
        <v>17</v>
      </c>
      <c r="C116" s="207" t="s">
        <v>389</v>
      </c>
    </row>
    <row r="117" spans="2:6" x14ac:dyDescent="0.2">
      <c r="D117" t="s">
        <v>396</v>
      </c>
    </row>
    <row r="118" spans="2:6" x14ac:dyDescent="0.2">
      <c r="E118" t="s">
        <v>397</v>
      </c>
    </row>
    <row r="119" spans="2:6" x14ac:dyDescent="0.2">
      <c r="E119" t="s">
        <v>398</v>
      </c>
    </row>
    <row r="120" spans="2:6" x14ac:dyDescent="0.2">
      <c r="E120" t="s">
        <v>400</v>
      </c>
    </row>
    <row r="121" spans="2:6" s="211" customFormat="1" x14ac:dyDescent="0.2">
      <c r="F121" t="s">
        <v>399</v>
      </c>
    </row>
    <row r="122" spans="2:6" s="211" customFormat="1" x14ac:dyDescent="0.2">
      <c r="F122"/>
    </row>
    <row r="123" spans="2:6" s="211" customFormat="1" x14ac:dyDescent="0.2">
      <c r="E123" t="s">
        <v>401</v>
      </c>
      <c r="F123"/>
    </row>
    <row r="124" spans="2:6" s="211" customFormat="1" x14ac:dyDescent="0.2">
      <c r="F124" t="s">
        <v>402</v>
      </c>
    </row>
    <row r="125" spans="2:6" s="211" customFormat="1" x14ac:dyDescent="0.2">
      <c r="F125" t="s">
        <v>403</v>
      </c>
    </row>
    <row r="126" spans="2:6" x14ac:dyDescent="0.2">
      <c r="F126" t="s">
        <v>404</v>
      </c>
    </row>
    <row r="128" spans="2:6" s="209" customFormat="1" ht="21" x14ac:dyDescent="0.25">
      <c r="B128" s="207">
        <v>18</v>
      </c>
      <c r="C128" s="207" t="s">
        <v>390</v>
      </c>
    </row>
    <row r="129" spans="2:4" x14ac:dyDescent="0.2">
      <c r="D129" t="s">
        <v>405</v>
      </c>
    </row>
    <row r="130" spans="2:4" x14ac:dyDescent="0.2">
      <c r="D130" t="s">
        <v>406</v>
      </c>
    </row>
    <row r="131" spans="2:4" x14ac:dyDescent="0.2">
      <c r="D131" t="s">
        <v>407</v>
      </c>
    </row>
    <row r="132" spans="2:4" x14ac:dyDescent="0.2">
      <c r="D132" t="s">
        <v>408</v>
      </c>
    </row>
    <row r="134" spans="2:4" s="209" customFormat="1" ht="21" x14ac:dyDescent="0.25">
      <c r="B134" s="207">
        <v>19</v>
      </c>
      <c r="C134" s="207" t="s">
        <v>392</v>
      </c>
    </row>
    <row r="135" spans="2:4" x14ac:dyDescent="0.2">
      <c r="D135" t="s">
        <v>393</v>
      </c>
    </row>
    <row r="137" spans="2:4" s="209" customFormat="1" ht="21" x14ac:dyDescent="0.25">
      <c r="B137" s="207">
        <v>20</v>
      </c>
      <c r="C137" s="207" t="s">
        <v>394</v>
      </c>
    </row>
    <row r="138" spans="2:4" x14ac:dyDescent="0.2">
      <c r="D138" t="s">
        <v>395</v>
      </c>
    </row>
    <row r="140" spans="2:4" s="209" customFormat="1" ht="21" x14ac:dyDescent="0.25">
      <c r="B140" s="207">
        <v>21</v>
      </c>
      <c r="C140" s="207" t="s">
        <v>379</v>
      </c>
    </row>
    <row r="141" spans="2:4" x14ac:dyDescent="0.2">
      <c r="D141" t="s">
        <v>373</v>
      </c>
    </row>
    <row r="142" spans="2:4" x14ac:dyDescent="0.2">
      <c r="D142" t="s">
        <v>374</v>
      </c>
    </row>
    <row r="144" spans="2:4" s="209" customFormat="1" ht="21" x14ac:dyDescent="0.25">
      <c r="B144" s="207">
        <v>22</v>
      </c>
      <c r="C144" s="207" t="s">
        <v>380</v>
      </c>
    </row>
    <row r="145" spans="2:4" x14ac:dyDescent="0.2">
      <c r="D145" t="s">
        <v>375</v>
      </c>
    </row>
    <row r="146" spans="2:4" x14ac:dyDescent="0.2">
      <c r="D146" t="s">
        <v>376</v>
      </c>
    </row>
    <row r="147" spans="2:4" x14ac:dyDescent="0.2">
      <c r="D147" t="s">
        <v>377</v>
      </c>
    </row>
    <row r="148" spans="2:4" x14ac:dyDescent="0.2">
      <c r="D148" t="s">
        <v>378</v>
      </c>
    </row>
    <row r="151" spans="2:4" ht="19" x14ac:dyDescent="0.25">
      <c r="B151" s="212" t="s">
        <v>411</v>
      </c>
    </row>
    <row r="153" spans="2:4" s="209" customFormat="1" ht="21" x14ac:dyDescent="0.25">
      <c r="B153" s="210">
        <v>23</v>
      </c>
      <c r="C153" s="210" t="s">
        <v>420</v>
      </c>
    </row>
    <row r="154" spans="2:4" x14ac:dyDescent="0.2">
      <c r="D154" t="s">
        <v>381</v>
      </c>
    </row>
    <row r="155" spans="2:4" x14ac:dyDescent="0.2">
      <c r="D155" t="s">
        <v>382</v>
      </c>
    </row>
    <row r="156" spans="2:4" x14ac:dyDescent="0.2">
      <c r="D156" t="s">
        <v>383</v>
      </c>
    </row>
    <row r="157" spans="2:4" x14ac:dyDescent="0.2">
      <c r="D157" t="s">
        <v>384</v>
      </c>
    </row>
    <row r="159" spans="2:4" s="209" customFormat="1" ht="21" x14ac:dyDescent="0.25">
      <c r="B159" s="210">
        <v>24</v>
      </c>
      <c r="C159" s="210" t="s">
        <v>418</v>
      </c>
    </row>
    <row r="160" spans="2:4" x14ac:dyDescent="0.2">
      <c r="D160" t="s">
        <v>412</v>
      </c>
    </row>
    <row r="161" spans="2:4" x14ac:dyDescent="0.2">
      <c r="D161" t="s">
        <v>413</v>
      </c>
    </row>
    <row r="162" spans="2:4" x14ac:dyDescent="0.2">
      <c r="D162" t="s">
        <v>414</v>
      </c>
    </row>
    <row r="163" spans="2:4" x14ac:dyDescent="0.2">
      <c r="D163" t="s">
        <v>415</v>
      </c>
    </row>
    <row r="165" spans="2:4" s="209" customFormat="1" ht="21" x14ac:dyDescent="0.25">
      <c r="B165" s="210">
        <v>25</v>
      </c>
      <c r="C165" s="210" t="s">
        <v>385</v>
      </c>
    </row>
    <row r="166" spans="2:4" x14ac:dyDescent="0.2">
      <c r="D166" t="s">
        <v>386</v>
      </c>
    </row>
    <row r="167" spans="2:4" x14ac:dyDescent="0.2">
      <c r="D167" t="s">
        <v>387</v>
      </c>
    </row>
    <row r="168" spans="2:4" x14ac:dyDescent="0.2">
      <c r="D168" t="s">
        <v>388</v>
      </c>
    </row>
    <row r="172" spans="2:4" ht="19" x14ac:dyDescent="0.25">
      <c r="B172" s="212" t="s">
        <v>416</v>
      </c>
    </row>
    <row r="174" spans="2:4" s="209" customFormat="1" ht="21" x14ac:dyDescent="0.25">
      <c r="B174" s="206">
        <v>26</v>
      </c>
      <c r="C174" s="206" t="s">
        <v>419</v>
      </c>
    </row>
    <row r="175" spans="2:4" x14ac:dyDescent="0.2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Mohit Bhardwaj</dc:creator>
  <cp:keywords/>
  <cp:lastModifiedBy>Adarsh Singh Chauhan</cp:lastModifiedBy>
  <cp:lastPrinted>2015-06-17T10:58:29Z</cp:lastPrinted>
  <dcterms:created xsi:type="dcterms:W3CDTF">2013-10-21T05:49:27Z</dcterms:created>
  <dcterms:modified xsi:type="dcterms:W3CDTF">2025-06-23T11:14:51Z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